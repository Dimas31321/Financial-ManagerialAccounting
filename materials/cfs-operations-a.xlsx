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 - 19 - Current\5. PRJ - Проекты\ВШЭ - Курс ФиУУ - БИ Бак2 (2026 осень)\Учебные материалы\1 - Financial accounting\1.3 - CFS\"/>
    </mc:Choice>
  </mc:AlternateContent>
  <bookViews>
    <workbookView xWindow="480" yWindow="12" windowWidth="15180" windowHeight="9096"/>
  </bookViews>
  <sheets>
    <sheet name="Title" sheetId="9" r:id="rId1"/>
    <sheet name="Inputs" sheetId="10" r:id="rId2"/>
    <sheet name="Workings" sheetId="8" r:id="rId3"/>
    <sheet name="CFS" sheetId="2" r:id="rId4"/>
  </sheets>
  <calcPr calcId="162913"/>
</workbook>
</file>

<file path=xl/calcChain.xml><?xml version="1.0" encoding="utf-8"?>
<calcChain xmlns="http://schemas.openxmlformats.org/spreadsheetml/2006/main">
  <c r="I37" i="8" l="1"/>
  <c r="L37" i="8"/>
  <c r="F37" i="8"/>
  <c r="C37" i="8"/>
  <c r="C39" i="8" s="1"/>
  <c r="C42" i="2"/>
  <c r="C31" i="2"/>
  <c r="C17" i="2"/>
  <c r="C45" i="2" l="1"/>
  <c r="C48" i="2" s="1"/>
</calcChain>
</file>

<file path=xl/sharedStrings.xml><?xml version="1.0" encoding="utf-8"?>
<sst xmlns="http://schemas.openxmlformats.org/spreadsheetml/2006/main" count="213" uniqueCount="148">
  <si>
    <t>Поступления</t>
  </si>
  <si>
    <t>Чистый денежный поток от операционной деятельности</t>
  </si>
  <si>
    <t xml:space="preserve">Платежи </t>
  </si>
  <si>
    <t>Чистый денежный поток от инвестиционной деятельности</t>
  </si>
  <si>
    <t>Чистый денежный поток от финансовой деятельности</t>
  </si>
  <si>
    <t xml:space="preserve">     страховые платежи  </t>
  </si>
  <si>
    <t xml:space="preserve">     страховые поступления  </t>
  </si>
  <si>
    <t xml:space="preserve">Денежные потоки: </t>
  </si>
  <si>
    <t xml:space="preserve">Изменение денежных средств и эквивалентов </t>
  </si>
  <si>
    <t xml:space="preserve">Операционная деятельность </t>
  </si>
  <si>
    <t xml:space="preserve">Инвестиционная деятельность </t>
  </si>
  <si>
    <t xml:space="preserve">Финансовая деятельность </t>
  </si>
  <si>
    <t>Остаток денежных средств и эквивалентов (на начало периода)</t>
  </si>
  <si>
    <t>Остаток денежных средств и эквивалентов (на конец периода)</t>
  </si>
  <si>
    <t xml:space="preserve">Титульный лист </t>
  </si>
  <si>
    <t xml:space="preserve">Название </t>
  </si>
  <si>
    <t xml:space="preserve">Версия </t>
  </si>
  <si>
    <t xml:space="preserve">Финальная (F) 
</t>
  </si>
  <si>
    <t xml:space="preserve">Автор </t>
  </si>
  <si>
    <t xml:space="preserve">Исаев Дмитрий Валентинович 
кандидат экономических наук, FCCA 
</t>
  </si>
  <si>
    <t xml:space="preserve">Аффилиация </t>
  </si>
  <si>
    <t xml:space="preserve">Высшая школа бизнеса НИУ ВШЭ 
департамент финансового менеджмента </t>
  </si>
  <si>
    <t xml:space="preserve">Описание </t>
  </si>
  <si>
    <t xml:space="preserve">Листы: </t>
  </si>
  <si>
    <t xml:space="preserve">     Title </t>
  </si>
  <si>
    <t xml:space="preserve">     Inputs </t>
  </si>
  <si>
    <t xml:space="preserve">Исходные данные </t>
  </si>
  <si>
    <t xml:space="preserve">     Workings</t>
  </si>
  <si>
    <t>Вспомогательные расчеты</t>
  </si>
  <si>
    <t xml:space="preserve">     CFS</t>
  </si>
  <si>
    <t>Отчет о движении денежных средств</t>
  </si>
  <si>
    <t>Все виды деятельности</t>
  </si>
  <si>
    <t xml:space="preserve">     Поступления от дополнительной эмиссии акций</t>
  </si>
  <si>
    <t xml:space="preserve">     Поступления от продаж продукции</t>
  </si>
  <si>
    <t xml:space="preserve">     Платежи поставщикам сырья и материалов </t>
  </si>
  <si>
    <t xml:space="preserve">     Выплата заработной платы работникам</t>
  </si>
  <si>
    <t xml:space="preserve">     Поступления от продажи основных средств</t>
  </si>
  <si>
    <t xml:space="preserve">     налоговые платежи </t>
  </si>
  <si>
    <t xml:space="preserve">     от выпуска акций </t>
  </si>
  <si>
    <t xml:space="preserve">     дивиденды уплаченные </t>
  </si>
  <si>
    <t>(тыс. руб.)</t>
  </si>
  <si>
    <t>Получен банковский кредит на сумму 27 000 тыс. руб.</t>
  </si>
  <si>
    <t>Погашен привлеченный ранее банковский кредит в размере 90 000 тыс. руб.</t>
  </si>
  <si>
    <t xml:space="preserve">     Платежи поставщикам материалов </t>
  </si>
  <si>
    <t>Выплачена заработная плата работникам за февраль в размере 22 000 тыс. руб. (через банк).</t>
  </si>
  <si>
    <t xml:space="preserve">     Приобретение финансовых активов </t>
  </si>
  <si>
    <t xml:space="preserve">     Дивиденды полученные </t>
  </si>
  <si>
    <t xml:space="preserve">     Налоговые платежи </t>
  </si>
  <si>
    <t>Уплачены налоги в размере 23 000 тыс. руб.</t>
  </si>
  <si>
    <t xml:space="preserve">     Страховые поступления </t>
  </si>
  <si>
    <t>Получены денежные средства от страховой компании (по страховым случаям) в размере 400 тыс. руб.</t>
  </si>
  <si>
    <t xml:space="preserve">     Страховые платежи </t>
  </si>
  <si>
    <t>Перечислены денежные средства поставщикам материалов на общую сумму 28 000 тыс. руб., 
в счет погашения задолженностей, возникших в результате закупок 20X0 года.</t>
  </si>
  <si>
    <t>Поступили денежные средства от покупателей продукции на общую сумму 33 000 тыс. руб., 
в счет погашения задолженностей, возникших в результате продаж 20X0 года</t>
  </si>
  <si>
    <t xml:space="preserve">     Платежи по приобретению основных средств </t>
  </si>
  <si>
    <t xml:space="preserve">     Поступления от продаж продукции </t>
  </si>
  <si>
    <t xml:space="preserve">Операции  </t>
  </si>
  <si>
    <t>Выполнен перевод денежных средств между своими банковскими счетами (в одном банке) 
на сумму 5 000 тыс. руб.</t>
  </si>
  <si>
    <t>Начислены проценты по банковским кредитам за январь в размере 18 000 тыс. руб.</t>
  </si>
  <si>
    <t>Начислена амортизация основных средств за январь в размере 42 000 тыс. руб.</t>
  </si>
  <si>
    <t>Начислена заработная плата работникам за январь в размере 21 000 тыс. руб.</t>
  </si>
  <si>
    <t>Начислены проценты по банковским кредитам за февраль в размере 15 000 тыс. руб.</t>
  </si>
  <si>
    <t>Начислена амортизация основных средств за февраль в размере 42 600 тыс. руб.</t>
  </si>
  <si>
    <t>Начислена заработная плата работникам за февраль в размере 22 000 тыс. руб.</t>
  </si>
  <si>
    <t>Выполнен перевод денежных средств между своими банковскими счетами (в разных банках) 
на сумму 57 000 тыс. руб.</t>
  </si>
  <si>
    <t>Начислены проценты по банковским кредитам за март в размере 15 700 тыс. руб.</t>
  </si>
  <si>
    <t>Начислена амортизация основных средств (кроме выбывших) за март в размере 41 000 тыс. руб.</t>
  </si>
  <si>
    <t>Начислена заработная плата работникам за март в размере 25 000 тыс. руб.</t>
  </si>
  <si>
    <t xml:space="preserve">Январь 20X1 </t>
  </si>
  <si>
    <t xml:space="preserve">Закупка </t>
  </si>
  <si>
    <t xml:space="preserve">Платежи - январь </t>
  </si>
  <si>
    <t xml:space="preserve">              - февраль</t>
  </si>
  <si>
    <t xml:space="preserve">              - март </t>
  </si>
  <si>
    <t xml:space="preserve">Продажа </t>
  </si>
  <si>
    <t xml:space="preserve">                    - март </t>
  </si>
  <si>
    <t xml:space="preserve">Февраль 20X1 </t>
  </si>
  <si>
    <t xml:space="preserve">Платежи - февраль </t>
  </si>
  <si>
    <t xml:space="preserve">              - апрель </t>
  </si>
  <si>
    <t xml:space="preserve">Стоимость оборудования </t>
  </si>
  <si>
    <t xml:space="preserve">Март 20X1 </t>
  </si>
  <si>
    <t xml:space="preserve">                    - май</t>
  </si>
  <si>
    <t>Первоначальная стоимость</t>
  </si>
  <si>
    <t xml:space="preserve">              - февраль </t>
  </si>
  <si>
    <t xml:space="preserve">Закупки 20X0  </t>
  </si>
  <si>
    <t xml:space="preserve">Продажи 20X0  </t>
  </si>
  <si>
    <t>Поступления - февраль</t>
  </si>
  <si>
    <t xml:space="preserve">              - январь</t>
  </si>
  <si>
    <t xml:space="preserve">С банковского счета снята сумма 4 000 тыс. руб. наличными (для выплаты заработной платы 
через кассу). </t>
  </si>
  <si>
    <t xml:space="preserve">Поступления - январь </t>
  </si>
  <si>
    <t>Поступления - январь</t>
  </si>
  <si>
    <t>Произведена дополнительная эмиссия акций с привлечением финансирования в размере 
100 000 тыс. руб. (денежные средства получены в течение марта).</t>
  </si>
  <si>
    <t>Поступления - март</t>
  </si>
  <si>
    <t xml:space="preserve">                    - апрель</t>
  </si>
  <si>
    <t>Накопленная амортизация</t>
  </si>
  <si>
    <t>Выплачены дивиденды акционерам за 20X0 год в размере 1 000 тыс. руб.</t>
  </si>
  <si>
    <t xml:space="preserve">Получены дивиденды по акциям других компаний за 20X0 год в размере 1 500 тыс. руб. </t>
  </si>
  <si>
    <t>Уплачены страховые взносы в размере 1 200 тыс. руб.</t>
  </si>
  <si>
    <t xml:space="preserve">Продано оборудование (на момент продажи первоначальная стоимость составляла 18 000 тыс. руб., накопленная амортизация – 12 200 тыс. руб.). 
Сумма продажи составила 5 000 тыс. руб. (денежные поступления: 3 000 тыс. руб. – в марте, оставшаяся часть – в апреле). </t>
  </si>
  <si>
    <t xml:space="preserve">Остаток денежных средств и эквивалентов на начало периода </t>
  </si>
  <si>
    <t xml:space="preserve">Дополнительная эмиссия </t>
  </si>
  <si>
    <t>Платежи - март</t>
  </si>
  <si>
    <t xml:space="preserve">              - май</t>
  </si>
  <si>
    <t>Начислена амортизация продаваемого оборудования в размере 600 тыс. руб.</t>
  </si>
  <si>
    <t>Выплачена заработная плата работникам за январь в размере 21 000 тыс. руб. 
(в т.ч. 4 000 тыс. руб. – через кассу, оставшаяся часть – с банковского счета).</t>
  </si>
  <si>
    <t>Формирование отчета о движении денежных средств 
(прямой метод, классификация денежных потоков на основе операций).</t>
  </si>
  <si>
    <t xml:space="preserve">Платежи - предоплата 20X0 </t>
  </si>
  <si>
    <t xml:space="preserve">Денежные потоки от текущих операций </t>
  </si>
  <si>
    <t xml:space="preserve">Денежные потоки от инвестиционных операций </t>
  </si>
  <si>
    <t xml:space="preserve">Денежные потоки от финансовых операций </t>
  </si>
  <si>
    <t xml:space="preserve">Сальдо денежных потоков от текущих операций </t>
  </si>
  <si>
    <t xml:space="preserve">Сальдо денежных потоков от инвестиционных операций </t>
  </si>
  <si>
    <t xml:space="preserve">Сальдо денежных потоков от финансовых операций </t>
  </si>
  <si>
    <t xml:space="preserve">Сальдо денежных потоков за период </t>
  </si>
  <si>
    <t xml:space="preserve">Остаток денежных средств и эквивалентов на конец периода </t>
  </si>
  <si>
    <t xml:space="preserve">     от продажи продукции, товаров, работ, услуг </t>
  </si>
  <si>
    <t xml:space="preserve">     поставщикам и подрядчикам </t>
  </si>
  <si>
    <t xml:space="preserve">     в связи с оплатой труда работников </t>
  </si>
  <si>
    <t xml:space="preserve">     проценты по долговым обязательствам </t>
  </si>
  <si>
    <t xml:space="preserve">     от продажи основных средств и нематериальных активов </t>
  </si>
  <si>
    <t xml:space="preserve">     от продажи акций других организаций </t>
  </si>
  <si>
    <t xml:space="preserve">     от возврата предоставленных займов </t>
  </si>
  <si>
    <t xml:space="preserve">     дивиденды и проценты полученные </t>
  </si>
  <si>
    <t xml:space="preserve">     приобретение основных средств и нематериальных активов </t>
  </si>
  <si>
    <t xml:space="preserve">     предоставление займов </t>
  </si>
  <si>
    <t xml:space="preserve">     приобретение акций других организаций</t>
  </si>
  <si>
    <t xml:space="preserve">     получение кредитов </t>
  </si>
  <si>
    <t xml:space="preserve">     возврат кредитов </t>
  </si>
  <si>
    <t xml:space="preserve">     Получение банковских кредитов</t>
  </si>
  <si>
    <t xml:space="preserve">     Уплата процентов по банковским кредитам</t>
  </si>
  <si>
    <t>Уплачены начисленные в январе проценты по банковским кредитам в размере 18 000 тыс. руб.</t>
  </si>
  <si>
    <t xml:space="preserve">     Поступления от продажи акций других организаций </t>
  </si>
  <si>
    <t xml:space="preserve">     Возврат банковских кредитов</t>
  </si>
  <si>
    <t xml:space="preserve">Закуплены материалы на общую сумму 170 000 тыс. руб., с отсрочкой платежа 
(оплата: 30 000 тыс. руб. – в феврале, 120 000 тыс. руб. – в марте, оставшаяся часть – в апреле).
</t>
  </si>
  <si>
    <t xml:space="preserve">Проданы акции других компаний на общую сумму 12 000 тыс. руб. 
(денежные средства получены в течение января). </t>
  </si>
  <si>
    <t xml:space="preserve">Продана продукция на общую сумму 210 000 тыс. руб., с отсрочкой платежа 
(денежные поступления: 150 000 тыс. руб. – в феврале, оставшаяся часть – в марте). </t>
  </si>
  <si>
    <t>Продана продукция на общую сумму 120 000 тыс. руб., с отсрочкой платежа 
(денежные поступления: 100 000 тыс. руб. – в феврале, оставшаяся часть – в марте).</t>
  </si>
  <si>
    <t>Уплачены начисленные в феврале проценты по банковским кредитам в размере 15 000 тыс. руб.</t>
  </si>
  <si>
    <t xml:space="preserve">Продана продукция на общую сумму 180 000 тыс. руб., с отсрочкой платежа 
(денежные поступления: 130 000 тыс. руб. – в марте, оставшаяся часть – в апреле и мае). </t>
  </si>
  <si>
    <t>Закуплены материалы на общую сумму 148 000 тыс. руб., с отсрочкой платежа 
(оплата: 88 000 тыс. руб. – в марте, 20 000 тыс. руб. – в апреле, оставшаяся часть – в мае).</t>
  </si>
  <si>
    <t>Перечислены авансы поставщикам на общую сумму 25 000 тыс. руб. за материалы, которые будут закуплены в апреле и мае.</t>
  </si>
  <si>
    <t>Получены авансы от покупателей на общую сумму 42 000 тыс. руб. за продукцию, которая будет продана им в апреле, мае и июне.</t>
  </si>
  <si>
    <t xml:space="preserve">Приобретено новое оборудование на общую сумму 40 000 тыс. руб., в т.ч. 10 000 тыс. руб. – 
в счет аванса, перечисленного поставщику в 20X0 году, оставшаяся часть – с отсрочкой платежа  
(оплата: 15 000 тыс. руб. – в феврале, 10 000 тыс. руб. – в марте, оставшаяся часть – в апреле). </t>
  </si>
  <si>
    <t xml:space="preserve">Закуплены материалы на общую сумму 110 000 тыс. руб., в т.ч. 15 000 тыс. руб. – 
в счет авансов, перечисленных поставщикам в 20X0 году, оставшаяся часть – с отсрочкой платежа 
(оплата: 30 000 тыс. руб. – в январе, 60 000 тыс. руб. – в феврале, оставшаяся часть – в марте).
</t>
  </si>
  <si>
    <t>Приобретены акции других компаний на общую сумму 38 000 тыс. руб., с оплатой в день совершения операции.</t>
  </si>
  <si>
    <t xml:space="preserve">     Приобретение акций других организаций </t>
  </si>
  <si>
    <t xml:space="preserve">     Выплата дивидендов акционерам</t>
  </si>
  <si>
    <t xml:space="preserve">     Получение дивидендов по акциям других организаций </t>
  </si>
  <si>
    <t xml:space="preserve">Отчет о движении денежных средств (операции)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</si>
</sst>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 \(#,##0\)"/>
    <numFmt numFmtId="165" formatCode="#,##0;\(#,##0\)"/>
  </numFmts>
  <fonts count="20" x14ac:knownFonts="1">
    <font>
      <sz val="10"/>
      <name val="Arial Cyr"/>
      <charset val="204"/>
    </font>
    <font>
      <i/>
      <sz val="8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8"/>
      <color rgb="FFFF0000"/>
      <name val="Arial Cyr"/>
      <charset val="204"/>
    </font>
    <font>
      <sz val="8"/>
      <color rgb="FFFF0000"/>
      <name val="Arial Cyr"/>
      <charset val="204"/>
    </font>
    <font>
      <sz val="8"/>
      <color rgb="FF009900"/>
      <name val="Arial Cyr"/>
      <charset val="204"/>
    </font>
    <font>
      <b/>
      <sz val="8"/>
      <color rgb="FF0000FF"/>
      <name val="Arial Cyr"/>
      <charset val="204"/>
    </font>
    <font>
      <sz val="8"/>
      <color rgb="FF0000FF"/>
      <name val="Arial Cyr"/>
      <charset val="204"/>
    </font>
    <font>
      <b/>
      <sz val="8"/>
      <color rgb="FF008000"/>
      <name val="Arial Cyr"/>
      <charset val="204"/>
    </font>
    <font>
      <sz val="8"/>
      <color theme="1"/>
      <name val="Arial"/>
      <family val="2"/>
      <charset val="204"/>
    </font>
    <font>
      <b/>
      <sz val="16"/>
      <color rgb="FF0000FF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0"/>
      <name val="Arial Cyr"/>
      <charset val="204"/>
    </font>
    <font>
      <sz val="8"/>
      <color theme="0" tint="-4.9989318521683403E-2"/>
      <name val="Arial Cyr"/>
      <charset val="204"/>
    </font>
    <font>
      <b/>
      <sz val="8"/>
      <color theme="0" tint="-4.9989318521683403E-2"/>
      <name val="Arial Cyr"/>
      <charset val="204"/>
    </font>
    <font>
      <sz val="8"/>
      <color rgb="FFFFFFCC"/>
      <name val="Arial Cyr"/>
      <charset val="204"/>
    </font>
    <font>
      <b/>
      <sz val="8"/>
      <color rgb="FFFFFFCC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vertical="top" wrapText="1"/>
    </xf>
    <xf numFmtId="0" fontId="10" fillId="2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2" borderId="0" xfId="0" applyFont="1" applyFill="1" applyAlignment="1">
      <alignment vertical="center" wrapText="1"/>
    </xf>
    <xf numFmtId="49" fontId="14" fillId="2" borderId="0" xfId="0" applyNumberFormat="1" applyFont="1" applyFill="1" applyAlignment="1">
      <alignment vertical="center" wrapText="1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4" borderId="0" xfId="0" applyNumberFormat="1" applyFont="1" applyFill="1" applyAlignment="1">
      <alignment vertical="center"/>
    </xf>
    <xf numFmtId="0" fontId="7" fillId="4" borderId="0" xfId="0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165" fontId="10" fillId="0" borderId="0" xfId="0" applyNumberFormat="1" applyFont="1" applyFill="1" applyAlignment="1">
      <alignment vertical="center"/>
    </xf>
    <xf numFmtId="165" fontId="10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165" fontId="13" fillId="0" borderId="0" xfId="0" applyNumberFormat="1" applyFont="1" applyFill="1" applyAlignment="1">
      <alignment vertical="center"/>
    </xf>
    <xf numFmtId="165" fontId="12" fillId="5" borderId="0" xfId="0" applyNumberFormat="1" applyFont="1" applyFill="1" applyAlignment="1">
      <alignment vertical="center"/>
    </xf>
    <xf numFmtId="165" fontId="13" fillId="0" borderId="3" xfId="0" applyNumberFormat="1" applyFont="1" applyBorder="1" applyAlignment="1">
      <alignment vertical="center"/>
    </xf>
    <xf numFmtId="165" fontId="13" fillId="0" borderId="0" xfId="0" applyNumberFormat="1" applyFont="1" applyAlignment="1">
      <alignment vertical="top"/>
    </xf>
    <xf numFmtId="165" fontId="13" fillId="0" borderId="3" xfId="0" applyNumberFormat="1" applyFont="1" applyBorder="1" applyAlignment="1">
      <alignment vertical="top" wrapText="1"/>
    </xf>
    <xf numFmtId="165" fontId="13" fillId="0" borderId="3" xfId="0" applyNumberFormat="1" applyFont="1" applyBorder="1" applyAlignment="1">
      <alignment vertical="top"/>
    </xf>
    <xf numFmtId="165" fontId="12" fillId="5" borderId="0" xfId="0" applyNumberFormat="1" applyFont="1" applyFill="1" applyAlignment="1">
      <alignment vertical="top"/>
    </xf>
    <xf numFmtId="164" fontId="1" fillId="0" borderId="0" xfId="0" applyNumberFormat="1" applyFont="1" applyFill="1" applyAlignment="1">
      <alignment horizontal="right" vertical="center" wrapText="1"/>
    </xf>
    <xf numFmtId="164" fontId="1" fillId="4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vertical="top" wrapText="1"/>
    </xf>
    <xf numFmtId="165" fontId="13" fillId="3" borderId="3" xfId="0" applyNumberFormat="1" applyFont="1" applyFill="1" applyBorder="1" applyAlignment="1">
      <alignment vertical="center"/>
    </xf>
    <xf numFmtId="164" fontId="2" fillId="3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horizontal="right" vertical="center" wrapText="1"/>
    </xf>
    <xf numFmtId="164" fontId="3" fillId="0" borderId="0" xfId="0" applyNumberFormat="1" applyFont="1" applyFill="1" applyBorder="1" applyAlignment="1">
      <alignment vertical="center"/>
    </xf>
    <xf numFmtId="164" fontId="16" fillId="2" borderId="0" xfId="0" applyNumberFormat="1" applyFont="1" applyFill="1" applyAlignment="1">
      <alignment vertical="center"/>
    </xf>
    <xf numFmtId="164" fontId="16" fillId="2" borderId="0" xfId="0" applyNumberFormat="1" applyFont="1" applyFill="1" applyBorder="1" applyAlignment="1">
      <alignment vertical="center"/>
    </xf>
    <xf numFmtId="164" fontId="17" fillId="2" borderId="2" xfId="0" applyNumberFormat="1" applyFont="1" applyFill="1" applyBorder="1" applyAlignment="1">
      <alignment vertical="center"/>
    </xf>
    <xf numFmtId="164" fontId="17" fillId="2" borderId="1" xfId="0" applyNumberFormat="1" applyFont="1" applyFill="1" applyBorder="1" applyAlignment="1">
      <alignment vertical="center"/>
    </xf>
    <xf numFmtId="164" fontId="18" fillId="3" borderId="0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4" fontId="15" fillId="0" borderId="0" xfId="0" applyNumberFormat="1" applyFont="1" applyAlignment="1">
      <alignment vertical="center"/>
    </xf>
    <xf numFmtId="164" fontId="15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vertical="center"/>
    </xf>
    <xf numFmtId="164" fontId="19" fillId="3" borderId="0" xfId="0" applyNumberFormat="1" applyFont="1" applyFill="1" applyAlignment="1">
      <alignment vertical="center"/>
    </xf>
    <xf numFmtId="165" fontId="13" fillId="0" borderId="3" xfId="0" applyNumberFormat="1" applyFont="1" applyBorder="1" applyAlignment="1">
      <alignment horizontal="left" vertical="top" wrapText="1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CC"/>
      <color rgb="FF009900"/>
      <color rgb="FF0000FF"/>
      <color rgb="FFFFFF66"/>
      <color rgb="FFFF3399"/>
      <color rgb="FF008000"/>
      <color rgb="FFFFFF00"/>
      <color rgb="FFFF0000"/>
      <color rgb="FFFFFF99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"/>
  <sheetViews>
    <sheetView tabSelected="1" workbookViewId="0"/>
  </sheetViews>
  <sheetFormatPr defaultColWidth="9.109375" defaultRowHeight="10.199999999999999" x14ac:dyDescent="0.25"/>
  <cols>
    <col min="1" max="1" width="5.77734375" style="22" customWidth="1"/>
    <col min="2" max="2" width="15.77734375" style="22" customWidth="1"/>
    <col min="3" max="3" width="80.77734375" style="22" customWidth="1"/>
    <col min="4" max="4" width="2.77734375" style="22" customWidth="1"/>
    <col min="5" max="16384" width="9.109375" style="22"/>
  </cols>
  <sheetData>
    <row r="1" spans="2:3" x14ac:dyDescent="0.25">
      <c r="C1" s="23"/>
    </row>
    <row r="2" spans="2:3" ht="21" x14ac:dyDescent="0.25">
      <c r="B2" s="24" t="s">
        <v>14</v>
      </c>
      <c r="C2" s="23"/>
    </row>
    <row r="3" spans="2:3" x14ac:dyDescent="0.25">
      <c r="C3" s="23"/>
    </row>
    <row r="4" spans="2:3" ht="20.399999999999999" x14ac:dyDescent="0.25">
      <c r="B4" s="25" t="s">
        <v>15</v>
      </c>
      <c r="C4" s="26" t="s">
        <v>147</v>
      </c>
    </row>
    <row r="5" spans="2:3" ht="20.399999999999999" x14ac:dyDescent="0.25">
      <c r="B5" s="25" t="s">
        <v>16</v>
      </c>
      <c r="C5" s="26" t="s">
        <v>17</v>
      </c>
    </row>
    <row r="6" spans="2:3" ht="30.6" x14ac:dyDescent="0.25">
      <c r="B6" s="25" t="s">
        <v>18</v>
      </c>
      <c r="C6" s="26" t="s">
        <v>19</v>
      </c>
    </row>
    <row r="7" spans="2:3" ht="20.399999999999999" x14ac:dyDescent="0.25">
      <c r="B7" s="25" t="s">
        <v>20</v>
      </c>
      <c r="C7" s="26" t="s">
        <v>21</v>
      </c>
    </row>
    <row r="8" spans="2:3" x14ac:dyDescent="0.25">
      <c r="B8" s="27"/>
      <c r="C8" s="23"/>
    </row>
    <row r="9" spans="2:3" ht="20.399999999999999" x14ac:dyDescent="0.25">
      <c r="B9" s="25" t="s">
        <v>22</v>
      </c>
      <c r="C9" s="26" t="s">
        <v>104</v>
      </c>
    </row>
    <row r="10" spans="2:3" x14ac:dyDescent="0.25">
      <c r="B10" s="27"/>
      <c r="C10" s="23"/>
    </row>
    <row r="11" spans="2:3" x14ac:dyDescent="0.25">
      <c r="B11" s="28" t="s">
        <v>23</v>
      </c>
      <c r="C11" s="26"/>
    </row>
    <row r="12" spans="2:3" x14ac:dyDescent="0.25">
      <c r="B12" s="29" t="s">
        <v>24</v>
      </c>
      <c r="C12" s="26" t="s">
        <v>14</v>
      </c>
    </row>
    <row r="13" spans="2:3" x14ac:dyDescent="0.25">
      <c r="B13" s="29" t="s">
        <v>25</v>
      </c>
      <c r="C13" s="26" t="s">
        <v>26</v>
      </c>
    </row>
    <row r="14" spans="2:3" x14ac:dyDescent="0.25">
      <c r="B14" s="29" t="s">
        <v>27</v>
      </c>
      <c r="C14" s="26" t="s">
        <v>28</v>
      </c>
    </row>
    <row r="15" spans="2:3" x14ac:dyDescent="0.25">
      <c r="B15" s="29" t="s">
        <v>29</v>
      </c>
      <c r="C15" s="2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/>
  </sheetViews>
  <sheetFormatPr defaultColWidth="9.109375" defaultRowHeight="10.199999999999999" customHeight="1" x14ac:dyDescent="0.25"/>
  <cols>
    <col min="1" max="1" width="5.77734375" style="36" customWidth="1"/>
    <col min="2" max="2" width="70.77734375" style="36" customWidth="1"/>
    <col min="3" max="3" width="19.6640625" style="36" customWidth="1"/>
    <col min="4" max="4" width="9.6640625" style="36" customWidth="1"/>
    <col min="5" max="5" width="5.6640625" style="35" customWidth="1"/>
    <col min="6" max="6" width="9.109375" style="36"/>
    <col min="7" max="7" width="9.109375" style="36" customWidth="1"/>
    <col min="8" max="16384" width="9.109375" style="36"/>
  </cols>
  <sheetData>
    <row r="1" spans="2:9" s="3" customFormat="1" ht="10.199999999999999" customHeight="1" x14ac:dyDescent="0.25">
      <c r="C1" s="30"/>
    </row>
    <row r="2" spans="2:9" s="22" customFormat="1" ht="21" customHeight="1" x14ac:dyDescent="0.25">
      <c r="B2" s="24" t="s">
        <v>26</v>
      </c>
      <c r="C2" s="23"/>
    </row>
    <row r="3" spans="2:9" s="3" customFormat="1" ht="10.199999999999999" customHeight="1" x14ac:dyDescent="0.25">
      <c r="C3" s="30"/>
    </row>
    <row r="4" spans="2:9" s="3" customFormat="1" ht="10.199999999999999" customHeight="1" x14ac:dyDescent="0.25">
      <c r="C4" s="14"/>
      <c r="D4" s="45" t="s">
        <v>40</v>
      </c>
    </row>
    <row r="5" spans="2:9" s="3" customFormat="1" ht="10.199999999999999" customHeight="1" x14ac:dyDescent="0.25">
      <c r="C5" s="14"/>
    </row>
    <row r="6" spans="2:9" s="3" customFormat="1" ht="10.199999999999999" customHeight="1" x14ac:dyDescent="0.25">
      <c r="B6" s="3" t="s">
        <v>98</v>
      </c>
      <c r="C6" s="14"/>
      <c r="D6" s="49">
        <v>20000</v>
      </c>
    </row>
    <row r="7" spans="2:9" s="3" customFormat="1" ht="10.199999999999999" customHeight="1" x14ac:dyDescent="0.25">
      <c r="C7" s="14"/>
    </row>
    <row r="8" spans="2:9" s="3" customFormat="1" ht="10.199999999999999" customHeight="1" x14ac:dyDescent="0.25">
      <c r="C8" s="14"/>
    </row>
    <row r="9" spans="2:9" s="3" customFormat="1" ht="10.199999999999999" customHeight="1" x14ac:dyDescent="0.25">
      <c r="B9" s="33" t="s">
        <v>56</v>
      </c>
      <c r="C9" s="32"/>
      <c r="D9" s="46"/>
    </row>
    <row r="10" spans="2:9" s="37" customFormat="1" ht="10.199999999999999" customHeight="1" x14ac:dyDescent="0.25">
      <c r="E10" s="38"/>
    </row>
    <row r="11" spans="2:9" s="37" customFormat="1" ht="10.199999999999999" customHeight="1" x14ac:dyDescent="0.25">
      <c r="B11" s="39" t="s">
        <v>68</v>
      </c>
      <c r="E11" s="38"/>
    </row>
    <row r="12" spans="2:9" s="37" customFormat="1" ht="10.199999999999999" customHeight="1" x14ac:dyDescent="0.25">
      <c r="E12" s="38"/>
    </row>
    <row r="13" spans="2:9" s="37" customFormat="1" ht="10.199999999999999" customHeight="1" x14ac:dyDescent="0.25">
      <c r="B13" s="62" t="s">
        <v>52</v>
      </c>
      <c r="C13" s="40" t="s">
        <v>83</v>
      </c>
      <c r="D13" s="48">
        <v>28000</v>
      </c>
      <c r="E13" s="38"/>
      <c r="G13" s="47"/>
      <c r="H13" s="47"/>
      <c r="I13" s="47"/>
    </row>
    <row r="14" spans="2:9" s="37" customFormat="1" ht="10.199999999999999" customHeight="1" x14ac:dyDescent="0.25">
      <c r="B14" s="62"/>
      <c r="C14" s="40" t="s">
        <v>70</v>
      </c>
      <c r="D14" s="48">
        <v>28000</v>
      </c>
      <c r="E14" s="38"/>
    </row>
    <row r="15" spans="2:9" s="37" customFormat="1" ht="10.199999999999999" customHeight="1" x14ac:dyDescent="0.25">
      <c r="B15" s="41"/>
      <c r="E15" s="38"/>
    </row>
    <row r="16" spans="2:9" s="37" customFormat="1" ht="10.199999999999999" customHeight="1" x14ac:dyDescent="0.25">
      <c r="B16" s="62" t="s">
        <v>53</v>
      </c>
      <c r="C16" s="40" t="s">
        <v>84</v>
      </c>
      <c r="D16" s="48">
        <v>33000</v>
      </c>
      <c r="E16" s="38"/>
      <c r="G16" s="47"/>
      <c r="H16" s="47"/>
      <c r="I16" s="47"/>
    </row>
    <row r="17" spans="2:5" s="37" customFormat="1" ht="10.199999999999999" customHeight="1" x14ac:dyDescent="0.25">
      <c r="B17" s="62"/>
      <c r="C17" s="40" t="s">
        <v>88</v>
      </c>
      <c r="D17" s="48">
        <v>33000</v>
      </c>
      <c r="E17" s="38"/>
    </row>
    <row r="18" spans="2:5" s="37" customFormat="1" ht="10.199999999999999" customHeight="1" x14ac:dyDescent="0.25">
      <c r="B18" s="41"/>
      <c r="E18" s="38"/>
    </row>
    <row r="19" spans="2:5" s="37" customFormat="1" ht="10.199999999999999" customHeight="1" x14ac:dyDescent="0.25">
      <c r="B19" s="40" t="s">
        <v>41</v>
      </c>
      <c r="C19" s="40"/>
      <c r="D19" s="48">
        <v>27000</v>
      </c>
      <c r="E19" s="38"/>
    </row>
    <row r="20" spans="2:5" s="37" customFormat="1" ht="10.199999999999999" customHeight="1" x14ac:dyDescent="0.25">
      <c r="B20" s="41"/>
      <c r="E20" s="38"/>
    </row>
    <row r="21" spans="2:5" s="37" customFormat="1" ht="20.399999999999999" customHeight="1" x14ac:dyDescent="0.25">
      <c r="B21" s="42" t="s">
        <v>57</v>
      </c>
      <c r="C21" s="40"/>
      <c r="D21" s="48">
        <v>5000</v>
      </c>
      <c r="E21" s="38"/>
    </row>
    <row r="22" spans="2:5" s="37" customFormat="1" ht="10.199999999999999" customHeight="1" x14ac:dyDescent="0.25">
      <c r="B22" s="41"/>
      <c r="E22" s="38"/>
    </row>
    <row r="23" spans="2:5" s="37" customFormat="1" ht="10.199999999999999" customHeight="1" x14ac:dyDescent="0.25">
      <c r="B23" s="62" t="s">
        <v>141</v>
      </c>
      <c r="C23" s="40" t="s">
        <v>78</v>
      </c>
      <c r="D23" s="48">
        <v>40000</v>
      </c>
      <c r="E23" s="38"/>
    </row>
    <row r="24" spans="2:5" s="37" customFormat="1" ht="10.199999999999999" customHeight="1" x14ac:dyDescent="0.25">
      <c r="B24" s="62"/>
      <c r="C24" s="40" t="s">
        <v>105</v>
      </c>
      <c r="D24" s="48">
        <v>10000</v>
      </c>
      <c r="E24" s="38"/>
    </row>
    <row r="25" spans="2:5" s="37" customFormat="1" ht="10.199999999999999" customHeight="1" x14ac:dyDescent="0.25">
      <c r="B25" s="62"/>
      <c r="C25" s="40" t="s">
        <v>82</v>
      </c>
      <c r="D25" s="48">
        <v>15000</v>
      </c>
      <c r="E25" s="38"/>
    </row>
    <row r="26" spans="2:5" s="37" customFormat="1" ht="10.199999999999999" customHeight="1" x14ac:dyDescent="0.25">
      <c r="B26" s="62"/>
      <c r="C26" s="40" t="s">
        <v>72</v>
      </c>
      <c r="D26" s="48">
        <v>10000</v>
      </c>
      <c r="E26" s="38"/>
    </row>
    <row r="27" spans="2:5" s="37" customFormat="1" ht="10.199999999999999" customHeight="1" x14ac:dyDescent="0.25">
      <c r="B27" s="62"/>
      <c r="C27" s="40" t="s">
        <v>77</v>
      </c>
      <c r="D27" s="48"/>
      <c r="E27" s="38"/>
    </row>
    <row r="28" spans="2:5" s="37" customFormat="1" ht="10.199999999999999" customHeight="1" x14ac:dyDescent="0.25">
      <c r="B28" s="41"/>
      <c r="E28" s="38"/>
    </row>
    <row r="29" spans="2:5" s="37" customFormat="1" ht="10.199999999999999" customHeight="1" x14ac:dyDescent="0.25">
      <c r="B29" s="62" t="s">
        <v>135</v>
      </c>
      <c r="C29" s="40" t="s">
        <v>73</v>
      </c>
      <c r="D29" s="48">
        <v>120000</v>
      </c>
      <c r="E29" s="38"/>
    </row>
    <row r="30" spans="2:5" s="37" customFormat="1" ht="10.199999999999999" customHeight="1" x14ac:dyDescent="0.25">
      <c r="B30" s="62"/>
      <c r="C30" s="40" t="s">
        <v>85</v>
      </c>
      <c r="D30" s="48">
        <v>100000</v>
      </c>
      <c r="E30" s="38"/>
    </row>
    <row r="31" spans="2:5" s="37" customFormat="1" ht="10.199999999999999" customHeight="1" x14ac:dyDescent="0.25">
      <c r="B31" s="62"/>
      <c r="C31" s="40" t="s">
        <v>74</v>
      </c>
      <c r="D31" s="48"/>
      <c r="E31" s="38"/>
    </row>
    <row r="32" spans="2:5" s="37" customFormat="1" ht="10.199999999999999" customHeight="1" x14ac:dyDescent="0.25">
      <c r="B32" s="41"/>
      <c r="E32" s="38"/>
    </row>
    <row r="33" spans="2:5" s="37" customFormat="1" ht="10.199999999999999" customHeight="1" x14ac:dyDescent="0.25">
      <c r="B33" s="62" t="s">
        <v>142</v>
      </c>
      <c r="C33" s="40" t="s">
        <v>69</v>
      </c>
      <c r="D33" s="48">
        <v>110000</v>
      </c>
      <c r="E33" s="38"/>
    </row>
    <row r="34" spans="2:5" s="37" customFormat="1" ht="10.199999999999999" customHeight="1" x14ac:dyDescent="0.25">
      <c r="B34" s="62"/>
      <c r="C34" s="40" t="s">
        <v>105</v>
      </c>
      <c r="D34" s="48">
        <v>15000</v>
      </c>
      <c r="E34" s="38"/>
    </row>
    <row r="35" spans="2:5" s="37" customFormat="1" ht="10.199999999999999" customHeight="1" x14ac:dyDescent="0.25">
      <c r="B35" s="62"/>
      <c r="C35" s="40" t="s">
        <v>86</v>
      </c>
      <c r="D35" s="48">
        <v>30000</v>
      </c>
      <c r="E35" s="38"/>
    </row>
    <row r="36" spans="2:5" s="37" customFormat="1" ht="10.199999999999999" customHeight="1" x14ac:dyDescent="0.25">
      <c r="B36" s="62"/>
      <c r="C36" s="40" t="s">
        <v>71</v>
      </c>
      <c r="D36" s="48">
        <v>60000</v>
      </c>
      <c r="E36" s="38"/>
    </row>
    <row r="37" spans="2:5" s="37" customFormat="1" ht="10.199999999999999" customHeight="1" x14ac:dyDescent="0.25">
      <c r="B37" s="62"/>
      <c r="C37" s="40" t="s">
        <v>72</v>
      </c>
      <c r="D37" s="48"/>
      <c r="E37" s="38"/>
    </row>
    <row r="38" spans="2:5" s="37" customFormat="1" ht="10.199999999999999" customHeight="1" x14ac:dyDescent="0.25">
      <c r="B38" s="41"/>
      <c r="E38" s="38"/>
    </row>
    <row r="39" spans="2:5" s="37" customFormat="1" ht="10.199999999999999" customHeight="1" x14ac:dyDescent="0.25">
      <c r="B39" s="43" t="s">
        <v>58</v>
      </c>
      <c r="C39" s="40"/>
      <c r="D39" s="48">
        <v>18000</v>
      </c>
      <c r="E39" s="38"/>
    </row>
    <row r="40" spans="2:5" s="37" customFormat="1" ht="10.199999999999999" customHeight="1" x14ac:dyDescent="0.25">
      <c r="B40" s="41"/>
      <c r="E40" s="38"/>
    </row>
    <row r="41" spans="2:5" s="37" customFormat="1" ht="10.199999999999999" customHeight="1" x14ac:dyDescent="0.25">
      <c r="B41" s="43" t="s">
        <v>59</v>
      </c>
      <c r="C41" s="40"/>
      <c r="D41" s="48">
        <v>42000</v>
      </c>
      <c r="E41" s="38"/>
    </row>
    <row r="42" spans="2:5" s="37" customFormat="1" ht="10.199999999999999" customHeight="1" x14ac:dyDescent="0.25">
      <c r="B42" s="41"/>
      <c r="E42" s="38"/>
    </row>
    <row r="43" spans="2:5" s="37" customFormat="1" ht="10.199999999999999" customHeight="1" x14ac:dyDescent="0.25">
      <c r="B43" s="43" t="s">
        <v>60</v>
      </c>
      <c r="C43" s="40"/>
      <c r="D43" s="48">
        <v>21000</v>
      </c>
      <c r="E43" s="38"/>
    </row>
    <row r="44" spans="2:5" s="37" customFormat="1" ht="10.199999999999999" customHeight="1" x14ac:dyDescent="0.25">
      <c r="B44" s="41"/>
      <c r="E44" s="38"/>
    </row>
    <row r="45" spans="2:5" s="37" customFormat="1" ht="10.199999999999999" customHeight="1" x14ac:dyDescent="0.25">
      <c r="B45" s="41"/>
      <c r="E45" s="38"/>
    </row>
    <row r="46" spans="2:5" s="37" customFormat="1" ht="10.199999999999999" customHeight="1" x14ac:dyDescent="0.25">
      <c r="B46" s="44" t="s">
        <v>75</v>
      </c>
      <c r="E46" s="38"/>
    </row>
    <row r="47" spans="2:5" s="37" customFormat="1" ht="10.199999999999999" customHeight="1" x14ac:dyDescent="0.25">
      <c r="B47" s="41"/>
      <c r="E47" s="38"/>
    </row>
    <row r="48" spans="2:5" s="37" customFormat="1" ht="20.399999999999999" customHeight="1" x14ac:dyDescent="0.25">
      <c r="B48" s="42" t="s">
        <v>87</v>
      </c>
      <c r="C48" s="40"/>
      <c r="D48" s="48">
        <v>4000</v>
      </c>
      <c r="E48" s="38"/>
    </row>
    <row r="49" spans="2:5" s="37" customFormat="1" ht="10.199999999999999" customHeight="1" x14ac:dyDescent="0.25">
      <c r="B49" s="41"/>
      <c r="E49" s="38"/>
    </row>
    <row r="50" spans="2:5" s="37" customFormat="1" ht="20.399999999999999" customHeight="1" x14ac:dyDescent="0.25">
      <c r="B50" s="42" t="s">
        <v>103</v>
      </c>
      <c r="C50" s="40"/>
      <c r="D50" s="48">
        <v>21000</v>
      </c>
      <c r="E50" s="38"/>
    </row>
    <row r="51" spans="2:5" s="37" customFormat="1" ht="10.199999999999999" customHeight="1" x14ac:dyDescent="0.25">
      <c r="B51" s="41"/>
      <c r="E51" s="38"/>
    </row>
    <row r="52" spans="2:5" s="37" customFormat="1" ht="10.199999999999999" customHeight="1" x14ac:dyDescent="0.25">
      <c r="B52" s="43" t="s">
        <v>129</v>
      </c>
      <c r="C52" s="40"/>
      <c r="D52" s="48">
        <v>18000</v>
      </c>
      <c r="E52" s="38"/>
    </row>
    <row r="53" spans="2:5" s="37" customFormat="1" ht="10.199999999999999" customHeight="1" x14ac:dyDescent="0.25">
      <c r="B53" s="41"/>
      <c r="E53" s="38"/>
    </row>
    <row r="54" spans="2:5" s="37" customFormat="1" ht="10.199999999999999" customHeight="1" x14ac:dyDescent="0.25">
      <c r="B54" s="62" t="s">
        <v>133</v>
      </c>
      <c r="C54" s="40" t="s">
        <v>73</v>
      </c>
      <c r="D54" s="48">
        <v>12000</v>
      </c>
      <c r="E54" s="38"/>
    </row>
    <row r="55" spans="2:5" s="37" customFormat="1" ht="10.199999999999999" customHeight="1" x14ac:dyDescent="0.25">
      <c r="B55" s="62"/>
      <c r="C55" s="40" t="s">
        <v>89</v>
      </c>
      <c r="D55" s="48">
        <v>12000</v>
      </c>
      <c r="E55" s="38"/>
    </row>
    <row r="56" spans="2:5" s="37" customFormat="1" ht="10.199999999999999" customHeight="1" x14ac:dyDescent="0.25">
      <c r="B56" s="41"/>
      <c r="E56" s="38"/>
    </row>
    <row r="57" spans="2:5" s="37" customFormat="1" ht="10.199999999999999" customHeight="1" x14ac:dyDescent="0.25">
      <c r="B57" s="43" t="s">
        <v>42</v>
      </c>
      <c r="C57" s="40"/>
      <c r="D57" s="48">
        <v>90000</v>
      </c>
      <c r="E57" s="38"/>
    </row>
    <row r="58" spans="2:5" s="37" customFormat="1" ht="10.199999999999999" customHeight="1" x14ac:dyDescent="0.25">
      <c r="B58" s="41"/>
      <c r="E58" s="38"/>
    </row>
    <row r="59" spans="2:5" s="37" customFormat="1" ht="10.199999999999999" customHeight="1" x14ac:dyDescent="0.25">
      <c r="B59" s="62" t="s">
        <v>134</v>
      </c>
      <c r="C59" s="40" t="s">
        <v>73</v>
      </c>
      <c r="D59" s="48">
        <v>210000</v>
      </c>
      <c r="E59" s="38"/>
    </row>
    <row r="60" spans="2:5" s="37" customFormat="1" ht="10.199999999999999" customHeight="1" x14ac:dyDescent="0.25">
      <c r="B60" s="62"/>
      <c r="C60" s="40" t="s">
        <v>85</v>
      </c>
      <c r="D60" s="48">
        <v>150000</v>
      </c>
      <c r="E60" s="38"/>
    </row>
    <row r="61" spans="2:5" s="37" customFormat="1" ht="10.199999999999999" customHeight="1" x14ac:dyDescent="0.25">
      <c r="B61" s="62"/>
      <c r="C61" s="40" t="s">
        <v>74</v>
      </c>
      <c r="D61" s="48"/>
      <c r="E61" s="38"/>
    </row>
    <row r="62" spans="2:5" s="37" customFormat="1" ht="10.199999999999999" customHeight="1" x14ac:dyDescent="0.25">
      <c r="B62" s="41"/>
      <c r="E62" s="38"/>
    </row>
    <row r="63" spans="2:5" s="37" customFormat="1" ht="10.199999999999999" customHeight="1" x14ac:dyDescent="0.25">
      <c r="B63" s="62" t="s">
        <v>132</v>
      </c>
      <c r="C63" s="40" t="s">
        <v>69</v>
      </c>
      <c r="D63" s="48">
        <v>170000</v>
      </c>
      <c r="E63" s="38"/>
    </row>
    <row r="64" spans="2:5" s="37" customFormat="1" ht="10.199999999999999" customHeight="1" x14ac:dyDescent="0.25">
      <c r="B64" s="62"/>
      <c r="C64" s="40" t="s">
        <v>76</v>
      </c>
      <c r="D64" s="48">
        <v>30000</v>
      </c>
      <c r="E64" s="38"/>
    </row>
    <row r="65" spans="2:5" s="37" customFormat="1" ht="10.199999999999999" customHeight="1" x14ac:dyDescent="0.25">
      <c r="B65" s="62"/>
      <c r="C65" s="40" t="s">
        <v>72</v>
      </c>
      <c r="D65" s="48">
        <v>120000</v>
      </c>
      <c r="E65" s="38"/>
    </row>
    <row r="66" spans="2:5" s="37" customFormat="1" ht="10.199999999999999" customHeight="1" x14ac:dyDescent="0.25">
      <c r="B66" s="62"/>
      <c r="C66" s="40" t="s">
        <v>77</v>
      </c>
      <c r="D66" s="48"/>
      <c r="E66" s="38"/>
    </row>
    <row r="67" spans="2:5" s="37" customFormat="1" ht="10.199999999999999" customHeight="1" x14ac:dyDescent="0.25">
      <c r="B67" s="41"/>
      <c r="E67" s="38"/>
    </row>
    <row r="68" spans="2:5" s="37" customFormat="1" ht="10.199999999999999" customHeight="1" x14ac:dyDescent="0.25">
      <c r="B68" s="42" t="s">
        <v>50</v>
      </c>
      <c r="C68" s="40"/>
      <c r="D68" s="48">
        <v>400</v>
      </c>
      <c r="E68" s="38"/>
    </row>
    <row r="69" spans="2:5" s="37" customFormat="1" ht="10.199999999999999" customHeight="1" x14ac:dyDescent="0.25">
      <c r="B69" s="41"/>
      <c r="E69" s="38"/>
    </row>
    <row r="70" spans="2:5" s="37" customFormat="1" ht="10.199999999999999" customHeight="1" x14ac:dyDescent="0.25">
      <c r="B70" s="43" t="s">
        <v>61</v>
      </c>
      <c r="C70" s="40"/>
      <c r="D70" s="48">
        <v>15000</v>
      </c>
      <c r="E70" s="38"/>
    </row>
    <row r="71" spans="2:5" s="37" customFormat="1" ht="10.199999999999999" customHeight="1" x14ac:dyDescent="0.25">
      <c r="B71" s="41"/>
      <c r="E71" s="38"/>
    </row>
    <row r="72" spans="2:5" s="37" customFormat="1" ht="10.199999999999999" customHeight="1" x14ac:dyDescent="0.25">
      <c r="B72" s="43" t="s">
        <v>62</v>
      </c>
      <c r="C72" s="40"/>
      <c r="D72" s="48">
        <v>42600</v>
      </c>
      <c r="E72" s="38"/>
    </row>
    <row r="73" spans="2:5" s="37" customFormat="1" ht="10.199999999999999" customHeight="1" x14ac:dyDescent="0.25">
      <c r="B73" s="41"/>
      <c r="E73" s="38"/>
    </row>
    <row r="74" spans="2:5" s="37" customFormat="1" ht="10.199999999999999" customHeight="1" x14ac:dyDescent="0.25">
      <c r="B74" s="43" t="s">
        <v>63</v>
      </c>
      <c r="C74" s="40"/>
      <c r="D74" s="48">
        <v>22000</v>
      </c>
      <c r="E74" s="38"/>
    </row>
    <row r="75" spans="2:5" s="37" customFormat="1" ht="10.199999999999999" customHeight="1" x14ac:dyDescent="0.25">
      <c r="E75" s="38"/>
    </row>
    <row r="76" spans="2:5" s="37" customFormat="1" ht="10.199999999999999" customHeight="1" x14ac:dyDescent="0.25">
      <c r="E76" s="38"/>
    </row>
    <row r="77" spans="2:5" s="37" customFormat="1" ht="10.199999999999999" customHeight="1" x14ac:dyDescent="0.25">
      <c r="B77" s="44" t="s">
        <v>79</v>
      </c>
      <c r="E77" s="38"/>
    </row>
    <row r="78" spans="2:5" s="37" customFormat="1" ht="10.199999999999999" customHeight="1" x14ac:dyDescent="0.25">
      <c r="E78" s="38"/>
    </row>
    <row r="79" spans="2:5" s="37" customFormat="1" ht="10.199999999999999" customHeight="1" x14ac:dyDescent="0.25">
      <c r="B79" s="43" t="s">
        <v>44</v>
      </c>
      <c r="C79" s="40"/>
      <c r="D79" s="48">
        <v>22000</v>
      </c>
      <c r="E79" s="38"/>
    </row>
    <row r="80" spans="2:5" s="37" customFormat="1" ht="10.199999999999999" customHeight="1" x14ac:dyDescent="0.25">
      <c r="E80" s="38"/>
    </row>
    <row r="81" spans="2:5" s="37" customFormat="1" ht="10.199999999999999" customHeight="1" x14ac:dyDescent="0.25">
      <c r="B81" s="43" t="s">
        <v>136</v>
      </c>
      <c r="C81" s="40"/>
      <c r="D81" s="48">
        <v>15000</v>
      </c>
      <c r="E81" s="38"/>
    </row>
    <row r="82" spans="2:5" s="37" customFormat="1" ht="10.199999999999999" customHeight="1" x14ac:dyDescent="0.25">
      <c r="E82" s="38"/>
    </row>
    <row r="83" spans="2:5" s="37" customFormat="1" ht="10.199999999999999" customHeight="1" x14ac:dyDescent="0.25">
      <c r="B83" s="62" t="s">
        <v>90</v>
      </c>
      <c r="C83" s="40" t="s">
        <v>99</v>
      </c>
      <c r="D83" s="48">
        <v>100000</v>
      </c>
      <c r="E83" s="38"/>
    </row>
    <row r="84" spans="2:5" s="37" customFormat="1" ht="10.199999999999999" customHeight="1" x14ac:dyDescent="0.25">
      <c r="B84" s="62"/>
      <c r="C84" s="40" t="s">
        <v>91</v>
      </c>
      <c r="D84" s="48">
        <v>100000</v>
      </c>
      <c r="E84" s="38"/>
    </row>
    <row r="85" spans="2:5" s="37" customFormat="1" ht="10.199999999999999" customHeight="1" x14ac:dyDescent="0.25">
      <c r="E85" s="38"/>
    </row>
    <row r="86" spans="2:5" s="37" customFormat="1" ht="10.199999999999999" customHeight="1" x14ac:dyDescent="0.25">
      <c r="E86" s="38"/>
    </row>
    <row r="87" spans="2:5" s="37" customFormat="1" ht="10.199999999999999" customHeight="1" x14ac:dyDescent="0.25">
      <c r="B87" s="62" t="s">
        <v>137</v>
      </c>
      <c r="C87" s="40" t="s">
        <v>73</v>
      </c>
      <c r="D87" s="48">
        <v>180000</v>
      </c>
      <c r="E87" s="38"/>
    </row>
    <row r="88" spans="2:5" s="37" customFormat="1" ht="10.199999999999999" customHeight="1" x14ac:dyDescent="0.25">
      <c r="B88" s="62"/>
      <c r="C88" s="40" t="s">
        <v>91</v>
      </c>
      <c r="D88" s="48">
        <v>130000</v>
      </c>
      <c r="E88" s="38"/>
    </row>
    <row r="89" spans="2:5" s="37" customFormat="1" ht="10.199999999999999" customHeight="1" x14ac:dyDescent="0.25">
      <c r="B89" s="62"/>
      <c r="C89" s="40" t="s">
        <v>92</v>
      </c>
      <c r="D89" s="48"/>
      <c r="E89" s="38"/>
    </row>
    <row r="90" spans="2:5" s="37" customFormat="1" ht="10.199999999999999" customHeight="1" x14ac:dyDescent="0.25">
      <c r="B90" s="62"/>
      <c r="C90" s="40" t="s">
        <v>80</v>
      </c>
      <c r="D90" s="48"/>
      <c r="E90" s="38"/>
    </row>
    <row r="91" spans="2:5" s="37" customFormat="1" ht="10.199999999999999" customHeight="1" x14ac:dyDescent="0.25">
      <c r="E91" s="38"/>
    </row>
    <row r="92" spans="2:5" s="37" customFormat="1" ht="20.399999999999999" customHeight="1" x14ac:dyDescent="0.25">
      <c r="B92" s="42" t="s">
        <v>139</v>
      </c>
      <c r="C92" s="40"/>
      <c r="D92" s="48">
        <v>25000</v>
      </c>
      <c r="E92" s="38"/>
    </row>
    <row r="93" spans="2:5" s="37" customFormat="1" ht="10.199999999999999" customHeight="1" x14ac:dyDescent="0.25">
      <c r="E93" s="38"/>
    </row>
    <row r="94" spans="2:5" s="37" customFormat="1" ht="10.199999999999999" customHeight="1" x14ac:dyDescent="0.25">
      <c r="B94" s="62" t="s">
        <v>138</v>
      </c>
      <c r="C94" s="40" t="s">
        <v>69</v>
      </c>
      <c r="D94" s="48">
        <v>148000</v>
      </c>
      <c r="E94" s="38"/>
    </row>
    <row r="95" spans="2:5" s="37" customFormat="1" ht="10.199999999999999" customHeight="1" x14ac:dyDescent="0.25">
      <c r="B95" s="62"/>
      <c r="C95" s="40" t="s">
        <v>100</v>
      </c>
      <c r="D95" s="48">
        <v>88000</v>
      </c>
      <c r="E95" s="38"/>
    </row>
    <row r="96" spans="2:5" s="37" customFormat="1" ht="10.199999999999999" customHeight="1" x14ac:dyDescent="0.25">
      <c r="B96" s="62"/>
      <c r="C96" s="40" t="s">
        <v>77</v>
      </c>
      <c r="D96" s="48">
        <v>20000</v>
      </c>
      <c r="E96" s="38"/>
    </row>
    <row r="97" spans="1:5" s="37" customFormat="1" ht="10.199999999999999" customHeight="1" x14ac:dyDescent="0.25">
      <c r="B97" s="62"/>
      <c r="C97" s="40" t="s">
        <v>101</v>
      </c>
      <c r="D97" s="48"/>
      <c r="E97" s="38"/>
    </row>
    <row r="98" spans="1:5" s="37" customFormat="1" ht="10.199999999999999" customHeight="1" x14ac:dyDescent="0.25">
      <c r="E98" s="38"/>
    </row>
    <row r="99" spans="1:5" s="37" customFormat="1" ht="20.399999999999999" customHeight="1" x14ac:dyDescent="0.25">
      <c r="B99" s="42" t="s">
        <v>64</v>
      </c>
      <c r="C99" s="40"/>
      <c r="D99" s="48">
        <v>57000</v>
      </c>
      <c r="E99" s="38"/>
    </row>
    <row r="100" spans="1:5" s="37" customFormat="1" ht="10.199999999999999" customHeight="1" x14ac:dyDescent="0.25">
      <c r="E100" s="38"/>
    </row>
    <row r="101" spans="1:5" s="37" customFormat="1" ht="20.399999999999999" customHeight="1" x14ac:dyDescent="0.25">
      <c r="A101" s="38"/>
      <c r="B101" s="42" t="s">
        <v>140</v>
      </c>
      <c r="C101" s="40"/>
      <c r="D101" s="48">
        <v>42000</v>
      </c>
      <c r="E101" s="38"/>
    </row>
    <row r="102" spans="1:5" s="37" customFormat="1" ht="10.199999999999999" customHeight="1" x14ac:dyDescent="0.25">
      <c r="E102" s="38"/>
    </row>
    <row r="103" spans="1:5" s="37" customFormat="1" ht="10.199999999999999" customHeight="1" x14ac:dyDescent="0.25">
      <c r="B103" s="43" t="s">
        <v>102</v>
      </c>
      <c r="C103" s="40"/>
      <c r="D103" s="48">
        <v>600</v>
      </c>
      <c r="E103" s="38"/>
    </row>
    <row r="104" spans="1:5" s="37" customFormat="1" ht="10.199999999999999" customHeight="1" x14ac:dyDescent="0.25">
      <c r="E104" s="38"/>
    </row>
    <row r="105" spans="1:5" s="37" customFormat="1" ht="10.199999999999999" customHeight="1" x14ac:dyDescent="0.25">
      <c r="B105" s="62" t="s">
        <v>97</v>
      </c>
      <c r="C105" s="40" t="s">
        <v>81</v>
      </c>
      <c r="D105" s="48">
        <v>18000</v>
      </c>
      <c r="E105" s="38"/>
    </row>
    <row r="106" spans="1:5" s="37" customFormat="1" ht="10.199999999999999" customHeight="1" x14ac:dyDescent="0.25">
      <c r="B106" s="62"/>
      <c r="C106" s="40" t="s">
        <v>93</v>
      </c>
      <c r="D106" s="48">
        <v>12200</v>
      </c>
      <c r="E106" s="38"/>
    </row>
    <row r="107" spans="1:5" s="37" customFormat="1" ht="10.199999999999999" customHeight="1" x14ac:dyDescent="0.25">
      <c r="B107" s="62"/>
      <c r="C107" s="40" t="s">
        <v>73</v>
      </c>
      <c r="D107" s="48">
        <v>5000</v>
      </c>
      <c r="E107" s="38"/>
    </row>
    <row r="108" spans="1:5" s="37" customFormat="1" ht="10.199999999999999" customHeight="1" x14ac:dyDescent="0.25">
      <c r="B108" s="62"/>
      <c r="C108" s="40" t="s">
        <v>91</v>
      </c>
      <c r="D108" s="48">
        <v>3000</v>
      </c>
      <c r="E108" s="38"/>
    </row>
    <row r="109" spans="1:5" s="37" customFormat="1" ht="10.199999999999999" customHeight="1" x14ac:dyDescent="0.25">
      <c r="B109" s="62"/>
      <c r="C109" s="40" t="s">
        <v>92</v>
      </c>
      <c r="D109" s="48"/>
      <c r="E109" s="38"/>
    </row>
    <row r="110" spans="1:5" s="37" customFormat="1" ht="10.199999999999999" customHeight="1" x14ac:dyDescent="0.25">
      <c r="E110" s="38"/>
    </row>
    <row r="111" spans="1:5" s="37" customFormat="1" ht="20.399999999999999" customHeight="1" x14ac:dyDescent="0.25">
      <c r="B111" s="42" t="s">
        <v>143</v>
      </c>
      <c r="C111" s="40"/>
      <c r="D111" s="48">
        <v>38000</v>
      </c>
      <c r="E111" s="38"/>
    </row>
    <row r="112" spans="1:5" s="37" customFormat="1" ht="10.199999999999999" customHeight="1" x14ac:dyDescent="0.25">
      <c r="E112" s="38"/>
    </row>
    <row r="113" spans="2:5" s="37" customFormat="1" ht="10.199999999999999" customHeight="1" x14ac:dyDescent="0.25">
      <c r="B113" s="43" t="s">
        <v>94</v>
      </c>
      <c r="C113" s="40"/>
      <c r="D113" s="48">
        <v>1000</v>
      </c>
      <c r="E113" s="38"/>
    </row>
    <row r="114" spans="2:5" s="37" customFormat="1" ht="10.199999999999999" customHeight="1" x14ac:dyDescent="0.25">
      <c r="E114" s="38"/>
    </row>
    <row r="115" spans="2:5" s="37" customFormat="1" ht="10.199999999999999" customHeight="1" x14ac:dyDescent="0.25">
      <c r="B115" s="43" t="s">
        <v>95</v>
      </c>
      <c r="C115" s="40"/>
      <c r="D115" s="48">
        <v>1500</v>
      </c>
      <c r="E115" s="38"/>
    </row>
    <row r="116" spans="2:5" s="37" customFormat="1" ht="10.199999999999999" customHeight="1" x14ac:dyDescent="0.25">
      <c r="E116" s="38"/>
    </row>
    <row r="117" spans="2:5" s="37" customFormat="1" ht="10.199999999999999" customHeight="1" x14ac:dyDescent="0.25">
      <c r="B117" s="43" t="s">
        <v>96</v>
      </c>
      <c r="C117" s="40"/>
      <c r="D117" s="48">
        <v>1200</v>
      </c>
      <c r="E117" s="38"/>
    </row>
    <row r="118" spans="2:5" s="37" customFormat="1" ht="10.199999999999999" customHeight="1" x14ac:dyDescent="0.25">
      <c r="E118" s="38"/>
    </row>
    <row r="119" spans="2:5" s="37" customFormat="1" ht="10.199999999999999" customHeight="1" x14ac:dyDescent="0.25">
      <c r="B119" s="43" t="s">
        <v>48</v>
      </c>
      <c r="C119" s="40"/>
      <c r="D119" s="48">
        <v>23000</v>
      </c>
      <c r="E119" s="38"/>
    </row>
    <row r="120" spans="2:5" s="37" customFormat="1" ht="10.199999999999999" customHeight="1" x14ac:dyDescent="0.25">
      <c r="E120" s="38"/>
    </row>
    <row r="121" spans="2:5" s="37" customFormat="1" ht="10.199999999999999" customHeight="1" x14ac:dyDescent="0.25">
      <c r="B121" s="43" t="s">
        <v>65</v>
      </c>
      <c r="C121" s="40"/>
      <c r="D121" s="48">
        <v>15700</v>
      </c>
      <c r="E121" s="38"/>
    </row>
    <row r="122" spans="2:5" s="37" customFormat="1" ht="10.199999999999999" customHeight="1" x14ac:dyDescent="0.25">
      <c r="E122" s="38"/>
    </row>
    <row r="123" spans="2:5" s="37" customFormat="1" ht="10.199999999999999" customHeight="1" x14ac:dyDescent="0.25">
      <c r="B123" s="43" t="s">
        <v>66</v>
      </c>
      <c r="C123" s="40"/>
      <c r="D123" s="48">
        <v>41000</v>
      </c>
      <c r="E123" s="38"/>
    </row>
    <row r="124" spans="2:5" s="37" customFormat="1" ht="10.199999999999999" customHeight="1" x14ac:dyDescent="0.25">
      <c r="E124" s="38"/>
    </row>
    <row r="125" spans="2:5" s="37" customFormat="1" ht="10.199999999999999" customHeight="1" x14ac:dyDescent="0.25">
      <c r="B125" s="43" t="s">
        <v>67</v>
      </c>
      <c r="C125" s="40"/>
      <c r="D125" s="48">
        <v>25000</v>
      </c>
      <c r="E125" s="38"/>
    </row>
    <row r="126" spans="2:5" s="37" customFormat="1" ht="10.199999999999999" customHeight="1" x14ac:dyDescent="0.25">
      <c r="E126" s="38"/>
    </row>
    <row r="127" spans="2:5" s="37" customFormat="1" ht="10.199999999999999" customHeight="1" x14ac:dyDescent="0.25">
      <c r="E127" s="38"/>
    </row>
    <row r="128" spans="2:5" s="37" customFormat="1" ht="10.199999999999999" customHeight="1" x14ac:dyDescent="0.25">
      <c r="E128" s="38"/>
    </row>
    <row r="129" spans="5:5" s="37" customFormat="1" ht="10.199999999999999" customHeight="1" x14ac:dyDescent="0.25">
      <c r="E129" s="38"/>
    </row>
  </sheetData>
  <mergeCells count="12">
    <mergeCell ref="B13:B14"/>
    <mergeCell ref="B59:B61"/>
    <mergeCell ref="B63:B66"/>
    <mergeCell ref="B87:B90"/>
    <mergeCell ref="B105:B109"/>
    <mergeCell ref="B83:B84"/>
    <mergeCell ref="B94:B97"/>
    <mergeCell ref="B16:B17"/>
    <mergeCell ref="B23:B27"/>
    <mergeCell ref="B29:B31"/>
    <mergeCell ref="B33:B37"/>
    <mergeCell ref="B54:B5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0"/>
  <sheetViews>
    <sheetView workbookViewId="0">
      <pane xSplit="4" topLeftCell="E1" activePane="topRight" state="frozen"/>
      <selection pane="topRight"/>
    </sheetView>
  </sheetViews>
  <sheetFormatPr defaultColWidth="9.109375" defaultRowHeight="10.199999999999999" customHeight="1" x14ac:dyDescent="0.25"/>
  <cols>
    <col min="1" max="1" width="5.77734375" style="3" customWidth="1"/>
    <col min="2" max="2" width="50.77734375" style="3" customWidth="1"/>
    <col min="3" max="3" width="8.77734375" style="14" customWidth="1"/>
    <col min="4" max="4" width="3.77734375" style="14" customWidth="1"/>
    <col min="5" max="5" width="45.77734375" style="3" customWidth="1"/>
    <col min="6" max="6" width="8.77734375" style="14" customWidth="1"/>
    <col min="7" max="7" width="3.77734375" style="14" customWidth="1"/>
    <col min="8" max="8" width="45.77734375" style="3" customWidth="1"/>
    <col min="9" max="9" width="8.77734375" style="14" customWidth="1"/>
    <col min="10" max="10" width="3.77734375" style="14" customWidth="1"/>
    <col min="11" max="11" width="45.77734375" style="3" customWidth="1"/>
    <col min="12" max="12" width="8.77734375" style="14" customWidth="1"/>
    <col min="13" max="13" width="2.77734375" style="3" customWidth="1"/>
    <col min="14" max="16384" width="9.109375" style="3"/>
  </cols>
  <sheetData>
    <row r="1" spans="2:12" ht="10.199999999999999" customHeight="1" x14ac:dyDescent="0.25">
      <c r="D1" s="3"/>
      <c r="E1" s="31"/>
      <c r="F1" s="3"/>
      <c r="G1" s="3"/>
      <c r="I1" s="3"/>
      <c r="J1" s="3"/>
      <c r="L1" s="3"/>
    </row>
    <row r="2" spans="2:12" s="22" customFormat="1" ht="21" x14ac:dyDescent="0.25">
      <c r="B2" s="24" t="s">
        <v>28</v>
      </c>
      <c r="C2" s="23"/>
    </row>
    <row r="4" spans="2:12" s="1" customFormat="1" ht="10.199999999999999" customHeight="1" x14ac:dyDescent="0.25">
      <c r="C4" s="50" t="s">
        <v>40</v>
      </c>
      <c r="D4" s="2"/>
      <c r="F4" s="50" t="s">
        <v>40</v>
      </c>
      <c r="G4" s="2"/>
      <c r="I4" s="50" t="s">
        <v>40</v>
      </c>
      <c r="J4" s="2"/>
      <c r="L4" s="50" t="s">
        <v>40</v>
      </c>
    </row>
    <row r="5" spans="2:12" ht="10.199999999999999" customHeight="1" x14ac:dyDescent="0.25">
      <c r="B5" s="66" t="s">
        <v>31</v>
      </c>
      <c r="C5" s="66"/>
      <c r="E5" s="63" t="s">
        <v>9</v>
      </c>
      <c r="F5" s="63"/>
      <c r="H5" s="64" t="s">
        <v>10</v>
      </c>
      <c r="I5" s="64"/>
      <c r="K5" s="65" t="s">
        <v>11</v>
      </c>
      <c r="L5" s="65"/>
    </row>
    <row r="7" spans="2:12" ht="10.199999999999999" customHeight="1" x14ac:dyDescent="0.25">
      <c r="B7" s="6" t="s">
        <v>12</v>
      </c>
      <c r="C7" s="61">
        <v>20000</v>
      </c>
      <c r="D7" s="15"/>
      <c r="G7" s="15"/>
      <c r="J7" s="15"/>
    </row>
    <row r="9" spans="2:12" ht="10.199999999999999" customHeight="1" x14ac:dyDescent="0.25">
      <c r="B9" s="6" t="s">
        <v>7</v>
      </c>
      <c r="E9" s="6" t="s">
        <v>7</v>
      </c>
      <c r="H9" s="6" t="s">
        <v>7</v>
      </c>
      <c r="K9" s="6" t="s">
        <v>7</v>
      </c>
    </row>
    <row r="10" spans="2:12" ht="10.199999999999999" customHeight="1" x14ac:dyDescent="0.25">
      <c r="B10" s="57" t="s">
        <v>43</v>
      </c>
      <c r="C10" s="58">
        <v>-28000</v>
      </c>
      <c r="D10" s="16"/>
      <c r="E10" s="57" t="s">
        <v>34</v>
      </c>
      <c r="F10" s="58">
        <v>-28000</v>
      </c>
      <c r="G10" s="16"/>
      <c r="H10" s="57"/>
      <c r="I10" s="58"/>
      <c r="J10" s="16"/>
      <c r="K10" s="57"/>
      <c r="L10" s="58"/>
    </row>
    <row r="11" spans="2:12" ht="10.199999999999999" customHeight="1" x14ac:dyDescent="0.25">
      <c r="B11" s="57" t="s">
        <v>33</v>
      </c>
      <c r="C11" s="58">
        <v>33000</v>
      </c>
      <c r="D11" s="17"/>
      <c r="E11" s="57" t="s">
        <v>33</v>
      </c>
      <c r="F11" s="58">
        <v>33000</v>
      </c>
      <c r="G11" s="17"/>
      <c r="H11" s="57"/>
      <c r="I11" s="58"/>
      <c r="J11" s="17"/>
      <c r="K11" s="57"/>
      <c r="L11" s="58"/>
    </row>
    <row r="12" spans="2:12" ht="10.199999999999999" customHeight="1" x14ac:dyDescent="0.25">
      <c r="B12" s="57" t="s">
        <v>127</v>
      </c>
      <c r="C12" s="58">
        <v>27000</v>
      </c>
      <c r="D12" s="17"/>
      <c r="E12" s="57"/>
      <c r="F12" s="58"/>
      <c r="G12" s="17"/>
      <c r="H12" s="57"/>
      <c r="I12" s="58"/>
      <c r="J12" s="17"/>
      <c r="K12" s="57" t="s">
        <v>127</v>
      </c>
      <c r="L12" s="58">
        <v>27000</v>
      </c>
    </row>
    <row r="13" spans="2:12" ht="10.199999999999999" customHeight="1" x14ac:dyDescent="0.25">
      <c r="B13" s="57" t="s">
        <v>54</v>
      </c>
      <c r="C13" s="58">
        <v>-25000</v>
      </c>
      <c r="D13" s="17"/>
      <c r="E13" s="57"/>
      <c r="F13" s="58"/>
      <c r="G13" s="17"/>
      <c r="H13" s="57" t="s">
        <v>54</v>
      </c>
      <c r="I13" s="58">
        <v>-25000</v>
      </c>
      <c r="J13" s="17"/>
      <c r="K13" s="57"/>
      <c r="L13" s="58"/>
    </row>
    <row r="14" spans="2:12" ht="10.199999999999999" customHeight="1" x14ac:dyDescent="0.25">
      <c r="B14" s="57" t="s">
        <v>33</v>
      </c>
      <c r="C14" s="58">
        <v>120000</v>
      </c>
      <c r="D14" s="18"/>
      <c r="E14" s="57" t="s">
        <v>33</v>
      </c>
      <c r="F14" s="58">
        <v>120000</v>
      </c>
      <c r="G14" s="18"/>
      <c r="H14" s="57"/>
      <c r="I14" s="58"/>
      <c r="J14" s="18"/>
      <c r="K14" s="57"/>
      <c r="L14" s="58"/>
    </row>
    <row r="15" spans="2:12" ht="10.199999999999999" customHeight="1" x14ac:dyDescent="0.25">
      <c r="B15" s="57" t="s">
        <v>43</v>
      </c>
      <c r="C15" s="58">
        <v>-95000</v>
      </c>
      <c r="D15" s="16"/>
      <c r="E15" s="57" t="s">
        <v>43</v>
      </c>
      <c r="F15" s="58">
        <v>-95000</v>
      </c>
      <c r="G15" s="16"/>
      <c r="H15" s="57"/>
      <c r="I15" s="58"/>
      <c r="J15" s="16"/>
      <c r="K15" s="57"/>
      <c r="L15" s="58"/>
    </row>
    <row r="16" spans="2:12" ht="10.199999999999999" customHeight="1" x14ac:dyDescent="0.25">
      <c r="B16" s="57" t="s">
        <v>35</v>
      </c>
      <c r="C16" s="58">
        <v>-21000</v>
      </c>
      <c r="D16" s="18"/>
      <c r="E16" s="57" t="s">
        <v>35</v>
      </c>
      <c r="F16" s="58">
        <v>-21000</v>
      </c>
      <c r="G16" s="18"/>
      <c r="H16" s="57"/>
      <c r="I16" s="58"/>
      <c r="J16" s="18"/>
      <c r="K16" s="57"/>
      <c r="L16" s="58"/>
    </row>
    <row r="17" spans="2:12" ht="10.199999999999999" customHeight="1" x14ac:dyDescent="0.25">
      <c r="B17" s="57" t="s">
        <v>128</v>
      </c>
      <c r="C17" s="58">
        <v>-18000</v>
      </c>
      <c r="D17" s="17"/>
      <c r="E17" s="57" t="s">
        <v>128</v>
      </c>
      <c r="F17" s="58">
        <v>-18000</v>
      </c>
      <c r="G17" s="17"/>
      <c r="H17" s="57"/>
      <c r="I17" s="58"/>
      <c r="J17" s="17"/>
      <c r="K17" s="57"/>
      <c r="L17" s="58"/>
    </row>
    <row r="18" spans="2:12" ht="10.199999999999999" customHeight="1" x14ac:dyDescent="0.25">
      <c r="B18" s="57" t="s">
        <v>130</v>
      </c>
      <c r="C18" s="58">
        <v>12000</v>
      </c>
      <c r="D18" s="17"/>
      <c r="E18" s="57"/>
      <c r="F18" s="58"/>
      <c r="G18" s="17"/>
      <c r="H18" s="57" t="s">
        <v>130</v>
      </c>
      <c r="I18" s="58">
        <v>12000</v>
      </c>
      <c r="J18" s="17"/>
      <c r="K18" s="57"/>
      <c r="L18" s="58"/>
    </row>
    <row r="19" spans="2:12" ht="10.199999999999999" customHeight="1" x14ac:dyDescent="0.25">
      <c r="B19" s="57" t="s">
        <v>131</v>
      </c>
      <c r="C19" s="58">
        <v>-90000</v>
      </c>
      <c r="D19" s="17"/>
      <c r="E19" s="57"/>
      <c r="F19" s="58"/>
      <c r="G19" s="17"/>
      <c r="H19" s="57"/>
      <c r="I19" s="58"/>
      <c r="J19" s="17"/>
      <c r="K19" s="57" t="s">
        <v>131</v>
      </c>
      <c r="L19" s="58">
        <v>-90000</v>
      </c>
    </row>
    <row r="20" spans="2:12" ht="10.199999999999999" customHeight="1" x14ac:dyDescent="0.25">
      <c r="B20" s="57" t="s">
        <v>55</v>
      </c>
      <c r="C20" s="59">
        <v>210000</v>
      </c>
      <c r="D20" s="17"/>
      <c r="E20" s="57" t="s">
        <v>55</v>
      </c>
      <c r="F20" s="58">
        <v>210000</v>
      </c>
      <c r="G20" s="17"/>
      <c r="H20" s="57"/>
      <c r="I20" s="58"/>
      <c r="J20" s="17"/>
      <c r="K20" s="57"/>
      <c r="L20" s="58"/>
    </row>
    <row r="21" spans="2:12" ht="10.199999999999999" customHeight="1" x14ac:dyDescent="0.25">
      <c r="B21" s="57" t="s">
        <v>43</v>
      </c>
      <c r="C21" s="58">
        <v>-150000</v>
      </c>
      <c r="D21" s="17"/>
      <c r="E21" s="57" t="s">
        <v>43</v>
      </c>
      <c r="F21" s="58">
        <v>-150000</v>
      </c>
      <c r="G21" s="17"/>
      <c r="H21" s="57"/>
      <c r="I21" s="58"/>
      <c r="J21" s="17"/>
      <c r="K21" s="57"/>
      <c r="L21" s="58"/>
    </row>
    <row r="22" spans="2:12" ht="10.199999999999999" customHeight="1" x14ac:dyDescent="0.25">
      <c r="B22" s="57" t="s">
        <v>49</v>
      </c>
      <c r="C22" s="58">
        <v>400</v>
      </c>
      <c r="D22" s="18"/>
      <c r="E22" s="57" t="s">
        <v>49</v>
      </c>
      <c r="F22" s="58">
        <v>400</v>
      </c>
      <c r="G22" s="18"/>
      <c r="H22" s="57"/>
      <c r="I22" s="58"/>
      <c r="J22" s="18"/>
      <c r="K22" s="57"/>
      <c r="L22" s="58"/>
    </row>
    <row r="23" spans="2:12" ht="10.199999999999999" customHeight="1" x14ac:dyDescent="0.25">
      <c r="B23" s="57" t="s">
        <v>35</v>
      </c>
      <c r="C23" s="58">
        <v>-22000</v>
      </c>
      <c r="D23" s="17"/>
      <c r="E23" s="57" t="s">
        <v>35</v>
      </c>
      <c r="F23" s="58">
        <v>-22000</v>
      </c>
      <c r="G23" s="17"/>
      <c r="H23" s="57"/>
      <c r="I23" s="58"/>
      <c r="J23" s="17"/>
      <c r="K23" s="57"/>
      <c r="L23" s="58"/>
    </row>
    <row r="24" spans="2:12" ht="10.199999999999999" customHeight="1" x14ac:dyDescent="0.25">
      <c r="B24" s="57" t="s">
        <v>128</v>
      </c>
      <c r="C24" s="58">
        <v>-15000</v>
      </c>
      <c r="D24" s="17"/>
      <c r="E24" s="57" t="s">
        <v>128</v>
      </c>
      <c r="F24" s="58">
        <v>-15000</v>
      </c>
      <c r="G24" s="17"/>
      <c r="H24" s="57"/>
      <c r="I24" s="58"/>
      <c r="J24" s="17"/>
      <c r="K24" s="57"/>
      <c r="L24" s="58"/>
    </row>
    <row r="25" spans="2:12" ht="10.199999999999999" customHeight="1" x14ac:dyDescent="0.25">
      <c r="B25" s="57" t="s">
        <v>32</v>
      </c>
      <c r="C25" s="58">
        <v>100000</v>
      </c>
      <c r="D25" s="17"/>
      <c r="E25" s="57"/>
      <c r="F25" s="58"/>
      <c r="G25" s="17"/>
      <c r="H25" s="57"/>
      <c r="I25" s="58"/>
      <c r="J25" s="17"/>
      <c r="K25" s="57" t="s">
        <v>32</v>
      </c>
      <c r="L25" s="58">
        <v>100000</v>
      </c>
    </row>
    <row r="26" spans="2:12" s="12" customFormat="1" ht="10.199999999999999" customHeight="1" x14ac:dyDescent="0.25">
      <c r="B26" s="60" t="s">
        <v>33</v>
      </c>
      <c r="C26" s="59">
        <v>130000</v>
      </c>
      <c r="D26" s="34"/>
      <c r="E26" s="60" t="s">
        <v>33</v>
      </c>
      <c r="F26" s="59">
        <v>130000</v>
      </c>
      <c r="G26" s="34"/>
      <c r="H26" s="60"/>
      <c r="I26" s="59"/>
      <c r="J26" s="34"/>
      <c r="K26" s="60"/>
      <c r="L26" s="59"/>
    </row>
    <row r="27" spans="2:12" ht="10.199999999999999" customHeight="1" x14ac:dyDescent="0.25">
      <c r="B27" s="57" t="s">
        <v>43</v>
      </c>
      <c r="C27" s="58">
        <v>-25000</v>
      </c>
      <c r="D27" s="18"/>
      <c r="E27" s="57" t="s">
        <v>43</v>
      </c>
      <c r="F27" s="58">
        <v>-25000</v>
      </c>
      <c r="G27" s="18"/>
      <c r="H27" s="57"/>
      <c r="I27" s="58"/>
      <c r="J27" s="18"/>
      <c r="K27" s="57"/>
      <c r="L27" s="58"/>
    </row>
    <row r="28" spans="2:12" ht="10.199999999999999" customHeight="1" x14ac:dyDescent="0.25">
      <c r="B28" s="57" t="s">
        <v>43</v>
      </c>
      <c r="C28" s="58">
        <v>-88000</v>
      </c>
      <c r="D28" s="18"/>
      <c r="E28" s="57" t="s">
        <v>43</v>
      </c>
      <c r="F28" s="58">
        <v>-88000</v>
      </c>
      <c r="G28" s="18"/>
      <c r="H28" s="57"/>
      <c r="I28" s="58"/>
      <c r="J28" s="18"/>
      <c r="K28" s="57"/>
      <c r="L28" s="58"/>
    </row>
    <row r="29" spans="2:12" ht="10.199999999999999" customHeight="1" x14ac:dyDescent="0.25">
      <c r="B29" s="57" t="s">
        <v>33</v>
      </c>
      <c r="C29" s="58">
        <v>42000</v>
      </c>
      <c r="D29" s="18"/>
      <c r="E29" s="57" t="s">
        <v>33</v>
      </c>
      <c r="F29" s="58">
        <v>42000</v>
      </c>
      <c r="G29" s="18"/>
      <c r="H29" s="57"/>
      <c r="I29" s="58"/>
      <c r="J29" s="18"/>
      <c r="K29" s="57"/>
      <c r="L29" s="58"/>
    </row>
    <row r="30" spans="2:12" ht="10.199999999999999" customHeight="1" x14ac:dyDescent="0.25">
      <c r="B30" s="57" t="s">
        <v>36</v>
      </c>
      <c r="C30" s="58">
        <v>3000</v>
      </c>
      <c r="D30" s="18"/>
      <c r="E30" s="57"/>
      <c r="F30" s="58"/>
      <c r="G30" s="18"/>
      <c r="H30" s="57" t="s">
        <v>36</v>
      </c>
      <c r="I30" s="58">
        <v>3000</v>
      </c>
      <c r="J30" s="18"/>
      <c r="K30" s="57"/>
      <c r="L30" s="58"/>
    </row>
    <row r="31" spans="2:12" ht="10.199999999999999" customHeight="1" x14ac:dyDescent="0.25">
      <c r="B31" s="57" t="s">
        <v>144</v>
      </c>
      <c r="C31" s="58">
        <v>-38000</v>
      </c>
      <c r="D31" s="18"/>
      <c r="E31" s="57"/>
      <c r="F31" s="58"/>
      <c r="G31" s="18"/>
      <c r="H31" s="57" t="s">
        <v>45</v>
      </c>
      <c r="I31" s="58">
        <v>-38000</v>
      </c>
      <c r="J31" s="18"/>
      <c r="K31" s="57"/>
      <c r="L31" s="58"/>
    </row>
    <row r="32" spans="2:12" ht="10.199999999999999" customHeight="1" x14ac:dyDescent="0.25">
      <c r="B32" s="57" t="s">
        <v>145</v>
      </c>
      <c r="C32" s="58">
        <v>-1000</v>
      </c>
      <c r="D32" s="18"/>
      <c r="E32" s="57"/>
      <c r="F32" s="58"/>
      <c r="G32" s="18"/>
      <c r="H32" s="57"/>
      <c r="I32" s="58"/>
      <c r="J32" s="18"/>
      <c r="K32" s="57" t="s">
        <v>145</v>
      </c>
      <c r="L32" s="58">
        <v>-1000</v>
      </c>
    </row>
    <row r="33" spans="2:12" ht="10.199999999999999" customHeight="1" x14ac:dyDescent="0.25">
      <c r="B33" s="57" t="s">
        <v>146</v>
      </c>
      <c r="C33" s="58">
        <v>1500</v>
      </c>
      <c r="D33" s="18"/>
      <c r="E33" s="57"/>
      <c r="F33" s="58"/>
      <c r="G33" s="18"/>
      <c r="H33" s="57" t="s">
        <v>46</v>
      </c>
      <c r="I33" s="58">
        <v>1500</v>
      </c>
      <c r="J33" s="18"/>
      <c r="K33" s="57"/>
      <c r="L33" s="58"/>
    </row>
    <row r="34" spans="2:12" ht="10.199999999999999" customHeight="1" x14ac:dyDescent="0.25">
      <c r="B34" s="57" t="s">
        <v>51</v>
      </c>
      <c r="C34" s="58">
        <v>-1200</v>
      </c>
      <c r="D34" s="18"/>
      <c r="E34" s="57" t="s">
        <v>51</v>
      </c>
      <c r="F34" s="58">
        <v>-1200</v>
      </c>
      <c r="G34" s="18"/>
      <c r="H34" s="57"/>
      <c r="I34" s="58"/>
      <c r="J34" s="18"/>
      <c r="K34" s="57"/>
      <c r="L34" s="58"/>
    </row>
    <row r="35" spans="2:12" ht="10.199999999999999" customHeight="1" x14ac:dyDescent="0.25">
      <c r="B35" s="57" t="s">
        <v>47</v>
      </c>
      <c r="C35" s="58">
        <v>-23000</v>
      </c>
      <c r="D35" s="18"/>
      <c r="E35" s="57" t="s">
        <v>47</v>
      </c>
      <c r="F35" s="58">
        <v>-23000</v>
      </c>
      <c r="G35" s="18"/>
      <c r="H35" s="57"/>
      <c r="I35" s="58"/>
      <c r="J35" s="18"/>
      <c r="K35" s="57"/>
      <c r="L35" s="58"/>
    </row>
    <row r="36" spans="2:12" ht="10.199999999999999" customHeight="1" x14ac:dyDescent="0.25">
      <c r="B36" s="57"/>
      <c r="C36" s="58"/>
      <c r="D36" s="18"/>
      <c r="E36" s="57"/>
      <c r="F36" s="58"/>
      <c r="G36" s="18"/>
      <c r="H36" s="57"/>
      <c r="I36" s="58"/>
      <c r="J36" s="18"/>
      <c r="K36" s="57"/>
      <c r="L36" s="58"/>
    </row>
    <row r="37" spans="2:12" ht="10.199999999999999" customHeight="1" x14ac:dyDescent="0.25">
      <c r="B37" s="6" t="s">
        <v>8</v>
      </c>
      <c r="C37" s="55">
        <f>SUM(C10:C36)</f>
        <v>38700</v>
      </c>
      <c r="D37" s="18"/>
      <c r="E37" s="19" t="s">
        <v>1</v>
      </c>
      <c r="F37" s="55">
        <f>SUM(F10:F36)</f>
        <v>49200</v>
      </c>
      <c r="G37" s="18"/>
      <c r="H37" s="20" t="s">
        <v>3</v>
      </c>
      <c r="I37" s="55">
        <f>SUM(I10:I36)</f>
        <v>-46500</v>
      </c>
      <c r="J37" s="18"/>
      <c r="K37" s="21" t="s">
        <v>4</v>
      </c>
      <c r="L37" s="55">
        <f>SUM(L10:L36)</f>
        <v>36000</v>
      </c>
    </row>
    <row r="38" spans="2:12" ht="10.199999999999999" customHeight="1" x14ac:dyDescent="0.25">
      <c r="D38" s="18"/>
      <c r="F38" s="3"/>
      <c r="G38" s="18"/>
      <c r="I38" s="3"/>
      <c r="J38" s="18"/>
      <c r="L38" s="3"/>
    </row>
    <row r="39" spans="2:12" ht="10.199999999999999" customHeight="1" thickBot="1" x14ac:dyDescent="0.3">
      <c r="B39" s="6" t="s">
        <v>13</v>
      </c>
      <c r="C39" s="54">
        <f>C7+C37</f>
        <v>58700</v>
      </c>
      <c r="D39" s="18"/>
      <c r="F39" s="3"/>
      <c r="G39" s="18"/>
      <c r="I39" s="3"/>
      <c r="J39" s="18"/>
      <c r="L39" s="3"/>
    </row>
    <row r="40" spans="2:12" ht="10.199999999999999" customHeight="1" thickTop="1" x14ac:dyDescent="0.25">
      <c r="D40" s="18"/>
      <c r="G40" s="18"/>
      <c r="J40" s="18"/>
    </row>
  </sheetData>
  <mergeCells count="4">
    <mergeCell ref="E5:F5"/>
    <mergeCell ref="H5:I5"/>
    <mergeCell ref="K5:L5"/>
    <mergeCell ref="B5:C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2"/>
  <sheetViews>
    <sheetView zoomScaleNormal="100" workbookViewId="0"/>
  </sheetViews>
  <sheetFormatPr defaultColWidth="9.109375" defaultRowHeight="10.199999999999999" customHeight="1" x14ac:dyDescent="0.25"/>
  <cols>
    <col min="1" max="1" width="5.77734375" style="3" customWidth="1"/>
    <col min="2" max="2" width="50.77734375" style="3" customWidth="1"/>
    <col min="3" max="3" width="8.77734375" style="14" customWidth="1"/>
    <col min="4" max="4" width="2.77734375" style="3" customWidth="1"/>
    <col min="5" max="16384" width="9.109375" style="3"/>
  </cols>
  <sheetData>
    <row r="1" spans="2:5" ht="10.199999999999999" customHeight="1" x14ac:dyDescent="0.25">
      <c r="E1" s="31"/>
    </row>
    <row r="2" spans="2:5" s="22" customFormat="1" ht="21" x14ac:dyDescent="0.25">
      <c r="B2" s="24" t="s">
        <v>30</v>
      </c>
      <c r="C2" s="23"/>
    </row>
    <row r="3" spans="2:5" ht="10.199999999999999" customHeight="1" x14ac:dyDescent="0.25">
      <c r="E3" s="31"/>
    </row>
    <row r="4" spans="2:5" s="1" customFormat="1" ht="10.199999999999999" customHeight="1" x14ac:dyDescent="0.25">
      <c r="C4" s="50" t="s">
        <v>40</v>
      </c>
    </row>
    <row r="6" spans="2:5" ht="10.199999999999999" customHeight="1" x14ac:dyDescent="0.25">
      <c r="B6" s="63" t="s">
        <v>106</v>
      </c>
      <c r="C6" s="63"/>
    </row>
    <row r="7" spans="2:5" ht="10.199999999999999" customHeight="1" x14ac:dyDescent="0.25">
      <c r="C7" s="4"/>
      <c r="D7" s="5"/>
    </row>
    <row r="8" spans="2:5" ht="10.199999999999999" customHeight="1" x14ac:dyDescent="0.25">
      <c r="B8" s="6" t="s">
        <v>0</v>
      </c>
      <c r="C8" s="7"/>
    </row>
    <row r="9" spans="2:5" ht="10.199999999999999" customHeight="1" x14ac:dyDescent="0.25">
      <c r="B9" s="3" t="s">
        <v>114</v>
      </c>
      <c r="C9" s="52">
        <v>535000</v>
      </c>
      <c r="D9" s="5"/>
    </row>
    <row r="10" spans="2:5" ht="10.199999999999999" customHeight="1" x14ac:dyDescent="0.25">
      <c r="B10" s="3" t="s">
        <v>6</v>
      </c>
      <c r="C10" s="52">
        <v>400</v>
      </c>
      <c r="D10" s="5"/>
    </row>
    <row r="11" spans="2:5" ht="10.199999999999999" customHeight="1" x14ac:dyDescent="0.25">
      <c r="B11" s="6" t="s">
        <v>2</v>
      </c>
      <c r="C11" s="7"/>
      <c r="D11" s="5"/>
    </row>
    <row r="12" spans="2:5" ht="10.199999999999999" customHeight="1" x14ac:dyDescent="0.25">
      <c r="B12" s="3" t="s">
        <v>115</v>
      </c>
      <c r="C12" s="52">
        <v>-386000</v>
      </c>
      <c r="D12" s="5"/>
    </row>
    <row r="13" spans="2:5" ht="10.199999999999999" customHeight="1" x14ac:dyDescent="0.25">
      <c r="B13" s="3" t="s">
        <v>116</v>
      </c>
      <c r="C13" s="52">
        <v>-43000</v>
      </c>
      <c r="D13" s="5"/>
    </row>
    <row r="14" spans="2:5" ht="10.199999999999999" customHeight="1" x14ac:dyDescent="0.25">
      <c r="B14" s="8" t="s">
        <v>117</v>
      </c>
      <c r="C14" s="53">
        <v>-33000</v>
      </c>
      <c r="D14" s="5"/>
    </row>
    <row r="15" spans="2:5" ht="10.199999999999999" customHeight="1" x14ac:dyDescent="0.25">
      <c r="B15" s="8" t="s">
        <v>5</v>
      </c>
      <c r="C15" s="53">
        <v>-1200</v>
      </c>
      <c r="D15" s="5"/>
    </row>
    <row r="16" spans="2:5" ht="10.199999999999999" customHeight="1" x14ac:dyDescent="0.25">
      <c r="B16" s="8" t="s">
        <v>37</v>
      </c>
      <c r="C16" s="53">
        <v>-23000</v>
      </c>
      <c r="D16" s="5"/>
    </row>
    <row r="17" spans="2:4" ht="10.199999999999999" customHeight="1" thickBot="1" x14ac:dyDescent="0.3">
      <c r="B17" s="19" t="s">
        <v>109</v>
      </c>
      <c r="C17" s="54">
        <f>SUM(C8:C16)</f>
        <v>49200</v>
      </c>
      <c r="D17" s="5"/>
    </row>
    <row r="18" spans="2:4" ht="10.199999999999999" customHeight="1" thickTop="1" x14ac:dyDescent="0.25">
      <c r="C18" s="4"/>
      <c r="D18" s="5"/>
    </row>
    <row r="19" spans="2:4" ht="10.199999999999999" customHeight="1" x14ac:dyDescent="0.25">
      <c r="C19" s="4"/>
      <c r="D19" s="5"/>
    </row>
    <row r="20" spans="2:4" ht="10.199999999999999" customHeight="1" x14ac:dyDescent="0.25">
      <c r="B20" s="64" t="s">
        <v>107</v>
      </c>
      <c r="C20" s="64"/>
    </row>
    <row r="21" spans="2:4" ht="10.199999999999999" customHeight="1" x14ac:dyDescent="0.25">
      <c r="C21" s="4"/>
      <c r="D21" s="5"/>
    </row>
    <row r="22" spans="2:4" ht="10.199999999999999" customHeight="1" x14ac:dyDescent="0.25">
      <c r="B22" s="6" t="s">
        <v>0</v>
      </c>
      <c r="C22" s="4"/>
      <c r="D22" s="5"/>
    </row>
    <row r="23" spans="2:4" ht="10.199999999999999" customHeight="1" x14ac:dyDescent="0.25">
      <c r="B23" s="8" t="s">
        <v>118</v>
      </c>
      <c r="C23" s="53">
        <v>3000</v>
      </c>
      <c r="D23" s="5"/>
    </row>
    <row r="24" spans="2:4" ht="10.199999999999999" customHeight="1" x14ac:dyDescent="0.25">
      <c r="B24" s="8" t="s">
        <v>119</v>
      </c>
      <c r="C24" s="53">
        <v>12000</v>
      </c>
      <c r="D24" s="5"/>
    </row>
    <row r="25" spans="2:4" ht="10.199999999999999" customHeight="1" x14ac:dyDescent="0.25">
      <c r="B25" s="8" t="s">
        <v>120</v>
      </c>
      <c r="C25" s="53">
        <v>0</v>
      </c>
      <c r="D25" s="5"/>
    </row>
    <row r="26" spans="2:4" ht="10.199999999999999" customHeight="1" x14ac:dyDescent="0.25">
      <c r="B26" s="8" t="s">
        <v>121</v>
      </c>
      <c r="C26" s="53">
        <v>1500</v>
      </c>
      <c r="D26" s="5"/>
    </row>
    <row r="27" spans="2:4" ht="10.199999999999999" customHeight="1" x14ac:dyDescent="0.25">
      <c r="B27" s="6" t="s">
        <v>2</v>
      </c>
      <c r="C27" s="4"/>
      <c r="D27" s="5"/>
    </row>
    <row r="28" spans="2:4" ht="10.199999999999999" customHeight="1" x14ac:dyDescent="0.25">
      <c r="B28" s="8" t="s">
        <v>122</v>
      </c>
      <c r="C28" s="53">
        <v>-25000</v>
      </c>
      <c r="D28" s="5"/>
    </row>
    <row r="29" spans="2:4" ht="10.199999999999999" customHeight="1" x14ac:dyDescent="0.25">
      <c r="B29" s="8" t="s">
        <v>124</v>
      </c>
      <c r="C29" s="53">
        <v>-38000</v>
      </c>
      <c r="D29" s="5"/>
    </row>
    <row r="30" spans="2:4" ht="10.199999999999999" customHeight="1" x14ac:dyDescent="0.25">
      <c r="B30" s="8" t="s">
        <v>123</v>
      </c>
      <c r="C30" s="53">
        <v>0</v>
      </c>
      <c r="D30" s="5"/>
    </row>
    <row r="31" spans="2:4" ht="10.199999999999999" customHeight="1" thickBot="1" x14ac:dyDescent="0.3">
      <c r="B31" s="20" t="s">
        <v>110</v>
      </c>
      <c r="C31" s="54">
        <f>SUM(C22:C30)</f>
        <v>-46500</v>
      </c>
      <c r="D31" s="5"/>
    </row>
    <row r="32" spans="2:4" ht="10.199999999999999" customHeight="1" thickTop="1" x14ac:dyDescent="0.25">
      <c r="C32" s="4"/>
      <c r="D32" s="5"/>
    </row>
    <row r="33" spans="2:4" ht="10.199999999999999" customHeight="1" x14ac:dyDescent="0.25">
      <c r="C33" s="4"/>
      <c r="D33" s="5"/>
    </row>
    <row r="34" spans="2:4" ht="10.199999999999999" customHeight="1" x14ac:dyDescent="0.25">
      <c r="B34" s="65" t="s">
        <v>108</v>
      </c>
      <c r="C34" s="65"/>
    </row>
    <row r="35" spans="2:4" ht="10.199999999999999" customHeight="1" x14ac:dyDescent="0.25">
      <c r="C35" s="4"/>
      <c r="D35" s="5"/>
    </row>
    <row r="36" spans="2:4" ht="10.199999999999999" customHeight="1" x14ac:dyDescent="0.25">
      <c r="B36" s="6" t="s">
        <v>0</v>
      </c>
      <c r="C36" s="4"/>
      <c r="D36" s="5"/>
    </row>
    <row r="37" spans="2:4" ht="10.199999999999999" customHeight="1" x14ac:dyDescent="0.25">
      <c r="B37" s="8" t="s">
        <v>38</v>
      </c>
      <c r="C37" s="53">
        <v>100000</v>
      </c>
      <c r="D37" s="5"/>
    </row>
    <row r="38" spans="2:4" ht="10.199999999999999" customHeight="1" x14ac:dyDescent="0.25">
      <c r="B38" s="8" t="s">
        <v>125</v>
      </c>
      <c r="C38" s="53">
        <v>27000</v>
      </c>
      <c r="D38" s="5"/>
    </row>
    <row r="39" spans="2:4" ht="10.199999999999999" customHeight="1" x14ac:dyDescent="0.25">
      <c r="B39" s="6" t="s">
        <v>2</v>
      </c>
      <c r="C39" s="4"/>
      <c r="D39" s="5"/>
    </row>
    <row r="40" spans="2:4" s="12" customFormat="1" ht="10.199999999999999" customHeight="1" x14ac:dyDescent="0.25">
      <c r="B40" s="10" t="s">
        <v>39</v>
      </c>
      <c r="C40" s="53">
        <v>-1000</v>
      </c>
      <c r="D40" s="11"/>
    </row>
    <row r="41" spans="2:4" ht="10.199999999999999" customHeight="1" x14ac:dyDescent="0.25">
      <c r="B41" s="8" t="s">
        <v>126</v>
      </c>
      <c r="C41" s="53">
        <v>-90000</v>
      </c>
      <c r="D41" s="5"/>
    </row>
    <row r="42" spans="2:4" ht="10.199999999999999" customHeight="1" thickBot="1" x14ac:dyDescent="0.3">
      <c r="B42" s="21" t="s">
        <v>111</v>
      </c>
      <c r="C42" s="54">
        <f>SUM(C36:C41)</f>
        <v>36000</v>
      </c>
      <c r="D42" s="5"/>
    </row>
    <row r="43" spans="2:4" ht="10.199999999999999" customHeight="1" thickTop="1" x14ac:dyDescent="0.25">
      <c r="C43" s="4"/>
      <c r="D43" s="5"/>
    </row>
    <row r="44" spans="2:4" ht="10.199999999999999" customHeight="1" x14ac:dyDescent="0.25">
      <c r="C44" s="4"/>
      <c r="D44" s="5"/>
    </row>
    <row r="45" spans="2:4" ht="10.199999999999999" customHeight="1" x14ac:dyDescent="0.25">
      <c r="B45" s="9" t="s">
        <v>112</v>
      </c>
      <c r="C45" s="55">
        <f>C17+C31+C42</f>
        <v>38700</v>
      </c>
      <c r="D45" s="5"/>
    </row>
    <row r="46" spans="2:4" s="12" customFormat="1" ht="10.199999999999999" customHeight="1" x14ac:dyDescent="0.25">
      <c r="B46" s="13"/>
      <c r="C46" s="51"/>
      <c r="D46" s="11"/>
    </row>
    <row r="47" spans="2:4" ht="10.199999999999999" customHeight="1" x14ac:dyDescent="0.25">
      <c r="B47" s="5" t="s">
        <v>98</v>
      </c>
      <c r="C47" s="56">
        <v>20000</v>
      </c>
      <c r="D47" s="5"/>
    </row>
    <row r="48" spans="2:4" ht="10.199999999999999" customHeight="1" thickBot="1" x14ac:dyDescent="0.3">
      <c r="B48" s="9" t="s">
        <v>113</v>
      </c>
      <c r="C48" s="54">
        <f>SUM(C45:C47)</f>
        <v>58700</v>
      </c>
      <c r="D48" s="5"/>
    </row>
    <row r="49" spans="3:4" ht="10.199999999999999" customHeight="1" thickTop="1" x14ac:dyDescent="0.25">
      <c r="C49" s="4"/>
      <c r="D49" s="5"/>
    </row>
    <row r="50" spans="3:4" ht="10.199999999999999" customHeight="1" x14ac:dyDescent="0.25">
      <c r="C50" s="4"/>
      <c r="D50" s="5"/>
    </row>
    <row r="51" spans="3:4" ht="10.199999999999999" customHeight="1" x14ac:dyDescent="0.25">
      <c r="C51" s="4"/>
      <c r="D51" s="5"/>
    </row>
    <row r="52" spans="3:4" ht="10.199999999999999" customHeight="1" x14ac:dyDescent="0.25">
      <c r="C52" s="4"/>
      <c r="D52" s="5"/>
    </row>
  </sheetData>
  <mergeCells count="3">
    <mergeCell ref="B6:C6"/>
    <mergeCell ref="B20:C20"/>
    <mergeCell ref="B34:C3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Title</vt:lpstr>
      <vt:lpstr>Inputs</vt:lpstr>
      <vt:lpstr>Workings</vt:lpstr>
      <vt:lpstr>CFS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Dmirtry Isaev</dc:creator>
  <cp:lastModifiedBy>Исаев Дмитрий Валентинович</cp:lastModifiedBy>
  <cp:lastPrinted>2016-12-12T10:24:26Z</cp:lastPrinted>
  <dcterms:created xsi:type="dcterms:W3CDTF">2006-09-06T08:37:57Z</dcterms:created>
  <dcterms:modified xsi:type="dcterms:W3CDTF">2026-09-03T18:25:15Z</dcterms:modified>
</cp:coreProperties>
</file>