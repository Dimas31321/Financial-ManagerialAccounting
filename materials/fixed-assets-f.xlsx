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I - 19 - Current\5. PRJ - Проекты\ВШЭ - Курс ФиУУ - БИ Бак2 (2026 осень)\Учебные материалы\1 - Financial accounting\1.4 - Fixed assets\"/>
    </mc:Choice>
  </mc:AlternateContent>
  <bookViews>
    <workbookView xWindow="480" yWindow="12" windowWidth="15180" windowHeight="9096"/>
  </bookViews>
  <sheets>
    <sheet name="Title" sheetId="6" r:id="rId1"/>
    <sheet name="Inputs" sheetId="1" r:id="rId2"/>
    <sheet name="Линейная" sheetId="3" r:id="rId3"/>
    <sheet name="Уменьш ост" sheetId="4" r:id="rId4"/>
    <sheet name="Сумма чисел" sheetId="7" r:id="rId5"/>
    <sheet name="Объем произв" sheetId="5" r:id="rId6"/>
  </sheets>
  <calcPr calcId="162913"/>
</workbook>
</file>

<file path=xl/calcChain.xml><?xml version="1.0" encoding="utf-8"?>
<calcChain xmlns="http://schemas.openxmlformats.org/spreadsheetml/2006/main">
  <c r="E59" i="7" l="1"/>
  <c r="E58" i="7"/>
  <c r="E57" i="7"/>
  <c r="E56" i="7"/>
  <c r="E55" i="7"/>
  <c r="E51" i="4" l="1"/>
  <c r="E100" i="5" l="1"/>
  <c r="E103" i="5" s="1"/>
  <c r="E87" i="5"/>
  <c r="E54" i="5"/>
  <c r="E67" i="5" s="1"/>
  <c r="E52" i="5"/>
  <c r="E33" i="5"/>
  <c r="E31" i="5"/>
  <c r="E34" i="5" s="1"/>
  <c r="E18" i="5"/>
  <c r="E13" i="5"/>
  <c r="E17" i="5" s="1"/>
  <c r="E81" i="7"/>
  <c r="E79" i="7"/>
  <c r="E74" i="7"/>
  <c r="E48" i="7"/>
  <c r="E46" i="7"/>
  <c r="E23" i="7"/>
  <c r="E49" i="7" s="1"/>
  <c r="E18" i="7"/>
  <c r="E13" i="7"/>
  <c r="E45" i="7" s="1"/>
  <c r="E69" i="7" s="1"/>
  <c r="E70" i="4"/>
  <c r="E65" i="4"/>
  <c r="E45" i="4"/>
  <c r="E26" i="4"/>
  <c r="E76" i="3"/>
  <c r="E69" i="3"/>
  <c r="E64" i="3"/>
  <c r="E47" i="3"/>
  <c r="E45" i="3"/>
  <c r="E35" i="3"/>
  <c r="E24" i="3"/>
  <c r="E23" i="3"/>
  <c r="E18" i="3"/>
  <c r="E21" i="4"/>
  <c r="E13" i="4"/>
  <c r="E20" i="4" s="1"/>
  <c r="E73" i="3"/>
  <c r="E74" i="3" s="1"/>
  <c r="E77" i="3" s="1"/>
  <c r="E13" i="3"/>
  <c r="E34" i="3" s="1"/>
  <c r="E41" i="5" l="1"/>
  <c r="E51" i="5"/>
  <c r="E115" i="5" s="1"/>
  <c r="E35" i="5"/>
  <c r="E38" i="5" s="1"/>
  <c r="E96" i="7"/>
  <c r="E62" i="7"/>
  <c r="E35" i="7"/>
  <c r="E17" i="7"/>
  <c r="E44" i="4"/>
  <c r="E34" i="4"/>
  <c r="E44" i="3"/>
  <c r="E17" i="3"/>
  <c r="E75" i="5" l="1"/>
  <c r="E82" i="5"/>
  <c r="E58" i="4"/>
  <c r="E78" i="4"/>
  <c r="E50" i="4"/>
  <c r="E92" i="3"/>
  <c r="E57" i="3"/>
  <c r="E61" i="5" l="1"/>
  <c r="E62" i="5"/>
  <c r="E60" i="5"/>
  <c r="E65" i="5" l="1"/>
  <c r="E84" i="3"/>
  <c r="E31" i="3"/>
  <c r="E91" i="5" l="1"/>
  <c r="E68" i="5"/>
  <c r="E69" i="5" s="1"/>
  <c r="E72" i="5" s="1"/>
  <c r="E19" i="7" l="1"/>
  <c r="E30" i="7" l="1"/>
  <c r="E47" i="7"/>
  <c r="E32" i="7"/>
  <c r="E31" i="7"/>
  <c r="E29" i="7"/>
  <c r="E60" i="7" l="1"/>
  <c r="E92" i="7" s="1"/>
  <c r="E33" i="7"/>
  <c r="E36" i="7" s="1"/>
  <c r="E37" i="7" s="1"/>
  <c r="E63" i="7" l="1"/>
  <c r="E64" i="7" s="1"/>
  <c r="E19" i="5"/>
  <c r="E53" i="5" l="1"/>
  <c r="E71" i="5" s="1"/>
  <c r="E73" i="5" s="1"/>
  <c r="E37" i="5"/>
  <c r="E39" i="5" s="1"/>
  <c r="E42" i="5" s="1"/>
  <c r="E73" i="7"/>
  <c r="E75" i="7" s="1"/>
  <c r="E92" i="5"/>
  <c r="E102" i="5" l="1"/>
  <c r="E104" i="5" s="1"/>
  <c r="E107" i="5" s="1"/>
  <c r="E88" i="7"/>
  <c r="E87" i="7"/>
  <c r="E111" i="5"/>
  <c r="E76" i="5"/>
  <c r="E77" i="5" s="1"/>
  <c r="E86" i="5" s="1"/>
  <c r="E88" i="5" s="1"/>
  <c r="E43" i="5"/>
  <c r="E106" i="5" l="1"/>
  <c r="E108" i="5" s="1"/>
  <c r="E112" i="5" s="1"/>
  <c r="E113" i="5" s="1"/>
  <c r="E116" i="5" s="1"/>
  <c r="E117" i="5" s="1"/>
  <c r="E89" i="7"/>
  <c r="E93" i="7" s="1"/>
  <c r="E94" i="7" s="1"/>
  <c r="E97" i="7" s="1"/>
  <c r="E98" i="7" s="1"/>
  <c r="E53" i="4" l="1"/>
  <c r="E23" i="4"/>
  <c r="E25" i="4" s="1"/>
  <c r="E28" i="4" s="1"/>
  <c r="E31" i="4" s="1"/>
  <c r="E30" i="4" l="1"/>
  <c r="E64" i="4"/>
  <c r="E67" i="4" s="1"/>
  <c r="E69" i="4" l="1"/>
  <c r="E72" i="4" s="1"/>
  <c r="E75" i="4" s="1"/>
  <c r="E74" i="4"/>
  <c r="E32" i="4"/>
  <c r="E35" i="4" s="1"/>
  <c r="E36" i="4" s="1"/>
  <c r="E76" i="4" l="1"/>
  <c r="E79" i="4" s="1"/>
  <c r="E80" i="4" s="1"/>
  <c r="E19" i="3"/>
  <c r="E25" i="3" l="1"/>
  <c r="E48" i="3" s="1"/>
  <c r="E53" i="3" s="1"/>
  <c r="E55" i="3" s="1"/>
  <c r="E88" i="3" s="1"/>
  <c r="E46" i="3"/>
  <c r="E30" i="3" l="1"/>
  <c r="E32" i="3" s="1"/>
  <c r="E36" i="3" s="1"/>
  <c r="E58" i="3"/>
  <c r="E59" i="3" s="1"/>
  <c r="E68" i="3" s="1"/>
  <c r="E70" i="3" s="1"/>
  <c r="E78" i="3" s="1"/>
  <c r="E83" i="3" l="1"/>
  <c r="E85" i="3" s="1"/>
  <c r="E89" i="3" s="1"/>
  <c r="E90" i="3" s="1"/>
  <c r="E93" i="3" l="1"/>
  <c r="E94" i="3" s="1"/>
</calcChain>
</file>

<file path=xl/sharedStrings.xml><?xml version="1.0" encoding="utf-8"?>
<sst xmlns="http://schemas.openxmlformats.org/spreadsheetml/2006/main" count="661" uniqueCount="161">
  <si>
    <t xml:space="preserve">Стоимость транспортировки </t>
  </si>
  <si>
    <t xml:space="preserve">Стоимость монтажа и наладки </t>
  </si>
  <si>
    <t xml:space="preserve">Стоимость оборудования по прайс-листу </t>
  </si>
  <si>
    <t xml:space="preserve">Срок полезного использования </t>
  </si>
  <si>
    <t xml:space="preserve">Ликвидационная стоимость </t>
  </si>
  <si>
    <t xml:space="preserve">Первоначальная стоимость </t>
  </si>
  <si>
    <t xml:space="preserve">Амортизируемая величина </t>
  </si>
  <si>
    <t xml:space="preserve">Годовая амортизация </t>
  </si>
  <si>
    <t>Ед. изм.</t>
  </si>
  <si>
    <t>руб.</t>
  </si>
  <si>
    <t>лет</t>
  </si>
  <si>
    <t>%</t>
  </si>
  <si>
    <t xml:space="preserve">Норма амортизации </t>
  </si>
  <si>
    <t xml:space="preserve"> </t>
  </si>
  <si>
    <t xml:space="preserve">= балансовая стоимость на конец предшествующего года  </t>
  </si>
  <si>
    <t xml:space="preserve">Накопленная амортизация на конец периода </t>
  </si>
  <si>
    <r>
      <t xml:space="preserve">= амортизируемая величина  </t>
    </r>
    <r>
      <rPr>
        <sz val="8"/>
        <rFont val="Symbol"/>
        <family val="1"/>
        <charset val="2"/>
      </rPr>
      <t>¸</t>
    </r>
    <r>
      <rPr>
        <sz val="8"/>
        <rFont val="Arial Cyr"/>
        <charset val="204"/>
      </rPr>
      <t xml:space="preserve">  срок полезного использования </t>
    </r>
  </si>
  <si>
    <r>
      <t xml:space="preserve">= первоначальная стоимость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(1 </t>
    </r>
    <r>
      <rPr>
        <sz val="8"/>
        <rFont val="Symbol"/>
        <family val="1"/>
        <charset val="2"/>
      </rPr>
      <t>-</t>
    </r>
    <r>
      <rPr>
        <sz val="8"/>
        <rFont val="Arial Cyr"/>
        <charset val="204"/>
      </rPr>
      <t xml:space="preserve"> норма амортизации) ^ период амортизации</t>
    </r>
  </si>
  <si>
    <r>
      <t xml:space="preserve">= годовая амортизация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период амортизации </t>
    </r>
  </si>
  <si>
    <t>руб./год</t>
  </si>
  <si>
    <r>
      <t xml:space="preserve">= балансовая стоимость на начало года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норма амортизации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6/12 года</t>
    </r>
  </si>
  <si>
    <t xml:space="preserve">3 года и 6 месяцев </t>
  </si>
  <si>
    <r>
      <t xml:space="preserve">20X1 </t>
    </r>
    <r>
      <rPr>
        <sz val="8"/>
        <rFont val="Symbol"/>
        <family val="1"/>
        <charset val="2"/>
      </rPr>
      <t>-</t>
    </r>
    <r>
      <rPr>
        <sz val="8"/>
        <rFont val="Arial Cyr"/>
        <charset val="204"/>
      </rPr>
      <t xml:space="preserve"> 20X3</t>
    </r>
  </si>
  <si>
    <t>шт.</t>
  </si>
  <si>
    <r>
      <t xml:space="preserve">= остат. амортизируемая величина  </t>
    </r>
    <r>
      <rPr>
        <sz val="8"/>
        <rFont val="Symbol"/>
        <family val="1"/>
        <charset val="2"/>
      </rPr>
      <t>¸</t>
    </r>
    <r>
      <rPr>
        <sz val="8"/>
        <rFont val="Arial Cyr"/>
        <charset val="204"/>
      </rPr>
      <t xml:space="preserve">  остат. срок полезного использования </t>
    </r>
  </si>
  <si>
    <t xml:space="preserve">     - стоимость оборудования по прайс-листу </t>
  </si>
  <si>
    <t xml:space="preserve">     - стоимость транспортировки </t>
  </si>
  <si>
    <t xml:space="preserve">     - стоимость монтажа и наладки </t>
  </si>
  <si>
    <t xml:space="preserve">Линейная амортизация </t>
  </si>
  <si>
    <t xml:space="preserve">Амортизация пропорционально объему производства </t>
  </si>
  <si>
    <t xml:space="preserve">Титульный лист </t>
  </si>
  <si>
    <t xml:space="preserve">Название </t>
  </si>
  <si>
    <t xml:space="preserve">Версия </t>
  </si>
  <si>
    <t xml:space="preserve">Финальная (F) 
</t>
  </si>
  <si>
    <t xml:space="preserve">Автор </t>
  </si>
  <si>
    <t xml:space="preserve">Исаев Дмитрий Валентинович 
кандидат экономических наук, FCCA 
</t>
  </si>
  <si>
    <t xml:space="preserve">Аффилиация </t>
  </si>
  <si>
    <t xml:space="preserve">Высшая школа бизнеса НИУ ВШЭ 
департамент финансового менеджмента </t>
  </si>
  <si>
    <t xml:space="preserve">Описание </t>
  </si>
  <si>
    <t xml:space="preserve">Листы: </t>
  </si>
  <si>
    <t xml:space="preserve">     Title </t>
  </si>
  <si>
    <t xml:space="preserve">     Inputs </t>
  </si>
  <si>
    <t xml:space="preserve">Исходные данные </t>
  </si>
  <si>
    <t xml:space="preserve">     Линейная</t>
  </si>
  <si>
    <t xml:space="preserve">     Уменьш ост</t>
  </si>
  <si>
    <t xml:space="preserve">     Объем произв</t>
  </si>
  <si>
    <r>
      <t xml:space="preserve">=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10/55 </t>
    </r>
  </si>
  <si>
    <r>
      <t xml:space="preserve">=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9/55 </t>
    </r>
  </si>
  <si>
    <r>
      <t xml:space="preserve">=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8/55 </t>
    </r>
  </si>
  <si>
    <r>
      <t xml:space="preserve">=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7/55 </t>
    </r>
  </si>
  <si>
    <t xml:space="preserve">     Сумма чисел</t>
  </si>
  <si>
    <t xml:space="preserve">Сумма чисел лет срока полезного использования </t>
  </si>
  <si>
    <t>Сумма чисел лет срока полезного использования</t>
  </si>
  <si>
    <t xml:space="preserve">1 год и 9 месяцев </t>
  </si>
  <si>
    <r>
      <t xml:space="preserve">20X1 </t>
    </r>
    <r>
      <rPr>
        <sz val="8"/>
        <rFont val="Symbol"/>
        <family val="1"/>
        <charset val="2"/>
      </rPr>
      <t>-</t>
    </r>
    <r>
      <rPr>
        <sz val="8"/>
        <rFont val="Arial Cyr"/>
        <charset val="204"/>
      </rPr>
      <t xml:space="preserve"> 20X5</t>
    </r>
  </si>
  <si>
    <r>
      <rPr>
        <sz val="8"/>
        <rFont val="Arial Cyr"/>
        <charset val="204"/>
      </rPr>
      <t>20X6</t>
    </r>
  </si>
  <si>
    <r>
      <t xml:space="preserve">=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7/55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6/12 года </t>
    </r>
  </si>
  <si>
    <r>
      <t xml:space="preserve">= остаточная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2/3 </t>
    </r>
  </si>
  <si>
    <t xml:space="preserve">          в т.ч. за первое полугодие </t>
  </si>
  <si>
    <t xml:space="preserve">          в т.ч. за период с января по сентябрь</t>
  </si>
  <si>
    <t>Ликвидационная стоимость (скорректированная)</t>
  </si>
  <si>
    <t xml:space="preserve">Остаточная амортизируемая величина </t>
  </si>
  <si>
    <t xml:space="preserve">Остаточный срок полезного использования </t>
  </si>
  <si>
    <r>
      <t xml:space="preserve">=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6/55 </t>
    </r>
  </si>
  <si>
    <r>
      <t xml:space="preserve">= остаточная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1/3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9/12 года</t>
    </r>
  </si>
  <si>
    <t>Ресурс оборудования</t>
  </si>
  <si>
    <r>
      <t xml:space="preserve">=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доля в ресурсе оборудования</t>
    </r>
  </si>
  <si>
    <r>
      <t xml:space="preserve">= объем производства с начала 20X1 по конец 20X5  </t>
    </r>
    <r>
      <rPr>
        <sz val="8"/>
        <rFont val="Symbol"/>
        <family val="1"/>
        <charset val="2"/>
      </rPr>
      <t>¸</t>
    </r>
    <r>
      <rPr>
        <sz val="8"/>
        <rFont val="Arial Cyr"/>
        <charset val="204"/>
      </rPr>
      <t xml:space="preserve">  ресурс оборудования</t>
    </r>
  </si>
  <si>
    <t>Ресурс оборудования (скорректированный)</t>
  </si>
  <si>
    <t>Остаточный ресурс оборудования</t>
  </si>
  <si>
    <t>Остаточная амортизируемая величина</t>
  </si>
  <si>
    <r>
      <t xml:space="preserve">= остаточная амортизируемая величина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доля в остаточном ресурсе оборудования</t>
    </r>
  </si>
  <si>
    <r>
      <t xml:space="preserve">= балансовая стоимость на начало года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норма амортизации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9/12 года</t>
    </r>
  </si>
  <si>
    <t xml:space="preserve">     - за 20X1 год</t>
  </si>
  <si>
    <t xml:space="preserve">     - за 20X2 год</t>
  </si>
  <si>
    <t xml:space="preserve">     - за 20X3 год</t>
  </si>
  <si>
    <t xml:space="preserve">     - за 20X4 год</t>
  </si>
  <si>
    <t xml:space="preserve">     - за 20X5 год</t>
  </si>
  <si>
    <t>Амортизация:</t>
  </si>
  <si>
    <t xml:space="preserve">     - за 20X6 год</t>
  </si>
  <si>
    <t xml:space="preserve">     - за 20X1 год </t>
  </si>
  <si>
    <t xml:space="preserve">     - за 20X2 год </t>
  </si>
  <si>
    <t xml:space="preserve">     - за 20X3 год </t>
  </si>
  <si>
    <t xml:space="preserve">     - за 20X4 год </t>
  </si>
  <si>
    <t xml:space="preserve">     - за 20X5 год </t>
  </si>
  <si>
    <t xml:space="preserve">Фактические объемы производства: </t>
  </si>
  <si>
    <t xml:space="preserve">     - за 20X6 год </t>
  </si>
  <si>
    <t xml:space="preserve">     - за 20X7 год </t>
  </si>
  <si>
    <t xml:space="preserve">     - за 20X8 год </t>
  </si>
  <si>
    <r>
      <t xml:space="preserve">= объем производства с начала 20X1 по июнь 20X4  </t>
    </r>
    <r>
      <rPr>
        <sz val="8"/>
        <rFont val="Symbol"/>
        <family val="1"/>
        <charset val="2"/>
      </rPr>
      <t>¸</t>
    </r>
    <r>
      <rPr>
        <sz val="8"/>
        <rFont val="Arial Cyr"/>
        <charset val="204"/>
      </rPr>
      <t xml:space="preserve">  ресурс оборудования</t>
    </r>
  </si>
  <si>
    <t xml:space="preserve">(а) Состояние на конец июня 20X4 года </t>
  </si>
  <si>
    <t xml:space="preserve">(б) Состояние на конец сентября 20X7 года </t>
  </si>
  <si>
    <t xml:space="preserve">Первоначальная стоимость: </t>
  </si>
  <si>
    <t xml:space="preserve">Состояние на заданную дату (конец июня 20X4 года) </t>
  </si>
  <si>
    <r>
      <t xml:space="preserve">расчеты </t>
    </r>
    <r>
      <rPr>
        <sz val="8"/>
        <rFont val="Symbol"/>
        <family val="1"/>
        <charset val="2"/>
      </rPr>
      <t>-</t>
    </r>
    <r>
      <rPr>
        <sz val="8"/>
        <rFont val="Arial Cyr"/>
        <charset val="204"/>
      </rPr>
      <t xml:space="preserve"> см. выше </t>
    </r>
  </si>
  <si>
    <t xml:space="preserve">Срок полезного использования (скорректированный) </t>
  </si>
  <si>
    <t xml:space="preserve">Состояние на заданную дату (конец сентября 20X7 года) </t>
  </si>
  <si>
    <t xml:space="preserve">Амортизация: </t>
  </si>
  <si>
    <t xml:space="preserve">Балансовая стоимость на начало заданного года </t>
  </si>
  <si>
    <t xml:space="preserve">Амортизация в течение заданного года  </t>
  </si>
  <si>
    <t xml:space="preserve">Амортизация в течение заданного года </t>
  </si>
  <si>
    <t xml:space="preserve">Балансовая стоимость на заданную дату </t>
  </si>
  <si>
    <t xml:space="preserve">Накопленная амортизация на заданную дату </t>
  </si>
  <si>
    <t xml:space="preserve">Период до заданной даты </t>
  </si>
  <si>
    <t xml:space="preserve">без изменений </t>
  </si>
  <si>
    <t>мес.</t>
  </si>
  <si>
    <t xml:space="preserve">Норма амортизации (скорректированная) </t>
  </si>
  <si>
    <t xml:space="preserve">Параметры амортизации </t>
  </si>
  <si>
    <t>сумма чисел от 1 до 10</t>
  </si>
  <si>
    <t xml:space="preserve">Ликвидационная стоимость (скорректированная) </t>
  </si>
  <si>
    <t>сумма чисел от 1 до 2</t>
  </si>
  <si>
    <t xml:space="preserve">Объем производства на заданную дату: </t>
  </si>
  <si>
    <t xml:space="preserve">Объем производства на заданную дату </t>
  </si>
  <si>
    <t xml:space="preserve">Использование ресурса оборудования на заданную дату </t>
  </si>
  <si>
    <t xml:space="preserve">Сумма чисел лет остаточного срока полезного использования </t>
  </si>
  <si>
    <t xml:space="preserve">Использование остаточного ресурса на заданную дату </t>
  </si>
  <si>
    <t>ü</t>
  </si>
  <si>
    <t xml:space="preserve">Основные средства и амортизация (без/с изменением оценочных значений) 
</t>
  </si>
  <si>
    <t xml:space="preserve">Учет основных средств (без/с изменением оценочных значений) с применением четырех способов амортизации: 
   - линейная амортизация  
   - способ уменьшаемого остатка 
   - способ суммы чисел лет срока полезного использования 
   - амортизация пропорционально объему производства </t>
  </si>
  <si>
    <t xml:space="preserve">Способ уменьшаемого остатка </t>
  </si>
  <si>
    <t xml:space="preserve">Способ суммы чисел лет срока полезного использования </t>
  </si>
  <si>
    <t xml:space="preserve">     - до изменения оценочных значений </t>
  </si>
  <si>
    <t xml:space="preserve">     - после изменения оценочных значений </t>
  </si>
  <si>
    <t xml:space="preserve">Параметры амортизации до изменения оценочных значений </t>
  </si>
  <si>
    <t xml:space="preserve">Состояние на момент изменения оценочных значений (конец 20X5 года) </t>
  </si>
  <si>
    <t xml:space="preserve">Годовая амортизация до изменения оценочных значений </t>
  </si>
  <si>
    <t>Накопленная амортизация на момент изменения оц. знач.</t>
  </si>
  <si>
    <t>Накопленная амортизация на момент изменения оц. значений</t>
  </si>
  <si>
    <t>Балансовая стоимость на момент изменения оц. значений</t>
  </si>
  <si>
    <t>Параметры амортизации после изменения оценочных значений</t>
  </si>
  <si>
    <t>Балансовая стоимость на момент изменения оценочных значений</t>
  </si>
  <si>
    <t>Годовая амортизация после изменения оц. значений</t>
  </si>
  <si>
    <t xml:space="preserve">Годовая амортизация после изменения оценочных значений </t>
  </si>
  <si>
    <t>Период после изменения оценочных значений до заданной даты</t>
  </si>
  <si>
    <t xml:space="preserve">     - за период до изменения оценочных значений </t>
  </si>
  <si>
    <t xml:space="preserve">     - за период после изменения оценочных значений </t>
  </si>
  <si>
    <t xml:space="preserve">Число месяцев заданного года до заданной даты </t>
  </si>
  <si>
    <t xml:space="preserve">Число лет до начала заданного года </t>
  </si>
  <si>
    <t xml:space="preserve">Число лет до изменения оценочных значений </t>
  </si>
  <si>
    <t xml:space="preserve">Число лет после изменения оц. знач. до начала заданного года </t>
  </si>
  <si>
    <t xml:space="preserve">     - за январь – июнь 20X4 года </t>
  </si>
  <si>
    <t xml:space="preserve">Амортизация после изменения оценочных значений: </t>
  </si>
  <si>
    <t xml:space="preserve">     - за январь – сентябрь 20X7 года </t>
  </si>
  <si>
    <t>Амортизация после изменения оценочных значений</t>
  </si>
  <si>
    <t>Объем производства на момент изменения оценочных значений:</t>
  </si>
  <si>
    <t>Объем производства на момент изменения оц. значений</t>
  </si>
  <si>
    <t>Объем производства на момент изменения оценочных значений</t>
  </si>
  <si>
    <t>Использование ресурса оборуд. на момент изм. оц. знач.</t>
  </si>
  <si>
    <t>Использование ресурса оборудования на момент изм. оц. знач.</t>
  </si>
  <si>
    <t xml:space="preserve">Объем производства после изменения оценочных значений: </t>
  </si>
  <si>
    <t>Объем производства после изменения оценочных значений</t>
  </si>
  <si>
    <t xml:space="preserve">Объем производства после изменения оценочных значений </t>
  </si>
  <si>
    <t xml:space="preserve">Амортизация после изменения оценочных значений </t>
  </si>
  <si>
    <t xml:space="preserve">= объем производства с начала 20X1 по июнь 20X4 </t>
  </si>
  <si>
    <t xml:space="preserve">= объем производства с начала 20X1 по конец 20X5 </t>
  </si>
  <si>
    <r>
      <t xml:space="preserve">= БС на момент изм.оц.знач.  </t>
    </r>
    <r>
      <rPr>
        <sz val="8"/>
        <rFont val="Symbol"/>
        <family val="1"/>
        <charset val="2"/>
      </rPr>
      <t>´</t>
    </r>
    <r>
      <rPr>
        <sz val="8"/>
        <rFont val="Arial Cyr"/>
        <charset val="204"/>
      </rPr>
      <t xml:space="preserve">  (1 </t>
    </r>
    <r>
      <rPr>
        <sz val="8"/>
        <rFont val="Symbol"/>
        <family val="1"/>
        <charset val="2"/>
      </rPr>
      <t>-</t>
    </r>
    <r>
      <rPr>
        <sz val="8"/>
        <rFont val="Arial Cyr"/>
        <charset val="204"/>
      </rPr>
      <t xml:space="preserve"> норма амортизации) ^ период амортизации</t>
    </r>
  </si>
  <si>
    <t xml:space="preserve">= объем производства с начала 20X6 по сентябрь 20X7 </t>
  </si>
  <si>
    <r>
      <t xml:space="preserve">= объем производства с начала 20X6 по сентябрь 20X7  </t>
    </r>
    <r>
      <rPr>
        <sz val="8"/>
        <rFont val="Symbol"/>
        <family val="1"/>
        <charset val="2"/>
      </rPr>
      <t>¸</t>
    </r>
    <r>
      <rPr>
        <sz val="8"/>
        <rFont val="Arial Cyr"/>
        <charset val="204"/>
      </rPr>
      <t xml:space="preserve">  остаточный ресурс оборудования</t>
    </r>
  </si>
  <si>
    <t xml:space="preserve">январь – июнь 20X4 года </t>
  </si>
  <si>
    <t xml:space="preserve">январь – сентябрь 20X7 года </t>
  </si>
  <si>
    <t xml:space="preserve">Норма амортизации (для способа уменьшаемого остатка)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</si>
</sst>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\ \(#,##0\)"/>
    <numFmt numFmtId="165" formatCode="0.0%"/>
  </numFmts>
  <fonts count="14" x14ac:knownFonts="1">
    <font>
      <sz val="10"/>
      <name val="Arial Cyr"/>
      <charset val="204"/>
    </font>
    <font>
      <i/>
      <sz val="8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i/>
      <sz val="8"/>
      <name val="Arial Cyr"/>
      <charset val="204"/>
    </font>
    <font>
      <sz val="8"/>
      <name val="Symbol"/>
      <family val="1"/>
      <charset val="2"/>
    </font>
    <font>
      <b/>
      <sz val="8"/>
      <color rgb="FF0000FF"/>
      <name val="Arial Cyr"/>
      <charset val="204"/>
    </font>
    <font>
      <sz val="8"/>
      <color rgb="FF0000FF"/>
      <name val="Arial Cyr"/>
      <charset val="204"/>
    </font>
    <font>
      <sz val="8"/>
      <color theme="1"/>
      <name val="Arial"/>
      <family val="2"/>
      <charset val="204"/>
    </font>
    <font>
      <b/>
      <sz val="16"/>
      <color rgb="FF0000FF"/>
      <name val="Arial"/>
      <family val="2"/>
      <charset val="204"/>
    </font>
    <font>
      <b/>
      <sz val="8"/>
      <name val="Arial"/>
      <family val="2"/>
      <charset val="204"/>
    </font>
    <font>
      <sz val="8"/>
      <name val="Arial"/>
      <family val="2"/>
      <charset val="204"/>
    </font>
    <font>
      <b/>
      <sz val="8"/>
      <color theme="1"/>
      <name val="Arial"/>
      <family val="2"/>
      <charset val="204"/>
    </font>
    <font>
      <b/>
      <sz val="8"/>
      <color rgb="FFFF0000"/>
      <name val="Wingdings"/>
      <charset val="2"/>
    </font>
  </fonts>
  <fills count="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2">
    <xf numFmtId="0" fontId="0" fillId="0" borderId="0" xfId="0"/>
    <xf numFmtId="0" fontId="10" fillId="2" borderId="0" xfId="0" applyFont="1" applyFill="1" applyAlignment="1">
      <alignment vertical="top" wrapText="1"/>
    </xf>
    <xf numFmtId="0" fontId="8" fillId="0" borderId="0" xfId="0" applyFont="1" applyAlignment="1">
      <alignment vertical="center" wrapText="1"/>
    </xf>
    <xf numFmtId="0" fontId="8" fillId="0" borderId="0" xfId="0" applyFont="1" applyFill="1" applyAlignment="1">
      <alignment vertical="center" wrapText="1"/>
    </xf>
    <xf numFmtId="0" fontId="9" fillId="0" borderId="0" xfId="0" applyFont="1" applyAlignment="1">
      <alignment vertical="center"/>
    </xf>
    <xf numFmtId="0" fontId="10" fillId="2" borderId="0" xfId="0" applyFont="1" applyFill="1" applyAlignment="1">
      <alignment vertical="center" wrapText="1"/>
    </xf>
    <xf numFmtId="0" fontId="8" fillId="2" borderId="0" xfId="0" applyFont="1" applyFill="1" applyAlignment="1">
      <alignment vertical="center" wrapText="1"/>
    </xf>
    <xf numFmtId="0" fontId="11" fillId="0" borderId="0" xfId="0" applyFont="1" applyAlignment="1">
      <alignment vertical="center" wrapText="1"/>
    </xf>
    <xf numFmtId="49" fontId="12" fillId="2" borderId="0" xfId="0" applyNumberFormat="1" applyFont="1" applyFill="1" applyAlignment="1">
      <alignment vertical="center" wrapText="1"/>
    </xf>
    <xf numFmtId="0" fontId="2" fillId="0" borderId="0" xfId="0" applyFont="1" applyAlignment="1">
      <alignment horizontal="center" vertical="center"/>
    </xf>
    <xf numFmtId="3" fontId="4" fillId="0" borderId="3" xfId="0" applyNumberFormat="1" applyFont="1" applyBorder="1" applyAlignment="1">
      <alignment horizontal="center" vertical="center" wrapText="1"/>
    </xf>
    <xf numFmtId="3" fontId="2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3" fontId="1" fillId="0" borderId="0" xfId="0" applyNumberFormat="1" applyFont="1" applyAlignment="1">
      <alignment horizontal="center" vertical="center"/>
    </xf>
    <xf numFmtId="3" fontId="2" fillId="4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3" fillId="0" borderId="0" xfId="0" applyNumberFormat="1" applyFont="1" applyBorder="1" applyAlignment="1">
      <alignment vertical="center" wrapText="1"/>
    </xf>
    <xf numFmtId="164" fontId="2" fillId="0" borderId="0" xfId="0" applyNumberFormat="1" applyFont="1" applyBorder="1" applyAlignment="1">
      <alignment vertical="center" wrapText="1"/>
    </xf>
    <xf numFmtId="165" fontId="2" fillId="4" borderId="0" xfId="0" applyNumberFormat="1" applyFont="1" applyFill="1" applyAlignment="1">
      <alignment vertical="center"/>
    </xf>
    <xf numFmtId="164" fontId="3" fillId="0" borderId="0" xfId="0" applyNumberFormat="1" applyFont="1" applyBorder="1" applyAlignment="1">
      <alignment vertical="center"/>
    </xf>
    <xf numFmtId="3" fontId="2" fillId="4" borderId="0" xfId="0" applyNumberFormat="1" applyFont="1" applyFill="1" applyAlignment="1">
      <alignment vertic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3" fillId="0" borderId="2" xfId="0" applyFont="1" applyBorder="1" applyAlignment="1">
      <alignment vertical="center"/>
    </xf>
    <xf numFmtId="164" fontId="3" fillId="2" borderId="1" xfId="0" applyNumberFormat="1" applyFont="1" applyFill="1" applyBorder="1" applyAlignment="1">
      <alignment vertical="center"/>
    </xf>
    <xf numFmtId="164" fontId="7" fillId="2" borderId="0" xfId="0" applyNumberFormat="1" applyFont="1" applyFill="1" applyAlignment="1">
      <alignment vertical="center"/>
    </xf>
    <xf numFmtId="164" fontId="2" fillId="4" borderId="0" xfId="0" applyNumberFormat="1" applyFont="1" applyFill="1" applyAlignment="1">
      <alignment vertical="center"/>
    </xf>
    <xf numFmtId="164" fontId="3" fillId="2" borderId="2" xfId="0" applyNumberFormat="1" applyFont="1" applyFill="1" applyBorder="1" applyAlignment="1">
      <alignment vertical="center"/>
    </xf>
    <xf numFmtId="0" fontId="2" fillId="0" borderId="0" xfId="0" quotePrefix="1" applyFont="1" applyAlignment="1">
      <alignment vertical="center"/>
    </xf>
    <xf numFmtId="0" fontId="2" fillId="2" borderId="0" xfId="0" applyNumberFormat="1" applyFont="1" applyFill="1" applyAlignment="1">
      <alignment vertical="center"/>
    </xf>
    <xf numFmtId="0" fontId="3" fillId="0" borderId="2" xfId="0" applyFont="1" applyFill="1" applyBorder="1" applyAlignment="1">
      <alignment vertical="center"/>
    </xf>
    <xf numFmtId="164" fontId="3" fillId="3" borderId="2" xfId="0" applyNumberFormat="1" applyFont="1" applyFill="1" applyBorder="1" applyAlignment="1">
      <alignment vertical="center"/>
    </xf>
    <xf numFmtId="164" fontId="3" fillId="3" borderId="1" xfId="0" applyNumberFormat="1" applyFont="1" applyFill="1" applyBorder="1" applyAlignment="1">
      <alignment vertical="center"/>
    </xf>
    <xf numFmtId="0" fontId="2" fillId="4" borderId="0" xfId="0" applyNumberFormat="1" applyFont="1" applyFill="1" applyAlignment="1">
      <alignment vertical="center"/>
    </xf>
    <xf numFmtId="164" fontId="2" fillId="2" borderId="0" xfId="0" applyNumberFormat="1" applyFont="1" applyFill="1" applyAlignment="1">
      <alignment vertical="center"/>
    </xf>
    <xf numFmtId="2" fontId="2" fillId="2" borderId="0" xfId="0" applyNumberFormat="1" applyFont="1" applyFill="1" applyAlignment="1">
      <alignment vertical="center"/>
    </xf>
    <xf numFmtId="0" fontId="2" fillId="0" borderId="0" xfId="0" applyFont="1" applyFill="1" applyBorder="1" applyAlignment="1">
      <alignment vertical="center"/>
    </xf>
    <xf numFmtId="3" fontId="1" fillId="0" borderId="0" xfId="0" applyNumberFormat="1" applyFont="1" applyFill="1" applyAlignment="1">
      <alignment horizontal="center" vertical="center"/>
    </xf>
    <xf numFmtId="164" fontId="2" fillId="0" borderId="0" xfId="0" applyNumberFormat="1" applyFont="1" applyFill="1" applyBorder="1" applyAlignment="1">
      <alignment vertical="center"/>
    </xf>
    <xf numFmtId="0" fontId="2" fillId="0" borderId="0" xfId="0" quotePrefix="1" applyFont="1" applyFill="1" applyAlignment="1">
      <alignment vertical="center"/>
    </xf>
    <xf numFmtId="10" fontId="3" fillId="2" borderId="1" xfId="0" applyNumberFormat="1" applyFont="1" applyFill="1" applyBorder="1" applyAlignment="1">
      <alignment vertical="center"/>
    </xf>
    <xf numFmtId="10" fontId="7" fillId="2" borderId="0" xfId="0" applyNumberFormat="1" applyFont="1" applyFill="1" applyAlignment="1">
      <alignment vertical="center"/>
    </xf>
    <xf numFmtId="0" fontId="2" fillId="0" borderId="0" xfId="0" quotePrefix="1" applyFont="1" applyBorder="1" applyAlignment="1">
      <alignment vertical="center"/>
    </xf>
    <xf numFmtId="0" fontId="2" fillId="0" borderId="0" xfId="0" applyFont="1" applyBorder="1" applyAlignment="1">
      <alignment vertical="center"/>
    </xf>
    <xf numFmtId="164" fontId="7" fillId="2" borderId="0" xfId="0" applyNumberFormat="1" applyFont="1" applyFill="1" applyBorder="1" applyAlignment="1">
      <alignment vertical="center"/>
    </xf>
    <xf numFmtId="3" fontId="7" fillId="4" borderId="0" xfId="0" applyNumberFormat="1" applyFont="1" applyFill="1" applyAlignment="1">
      <alignment vertical="center"/>
    </xf>
    <xf numFmtId="164" fontId="2" fillId="0" borderId="0" xfId="0" applyNumberFormat="1" applyFont="1" applyFill="1" applyAlignment="1">
      <alignment vertical="center"/>
    </xf>
    <xf numFmtId="3" fontId="2" fillId="0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vertical="center"/>
    </xf>
    <xf numFmtId="0" fontId="2" fillId="0" borderId="0" xfId="0" applyFont="1" applyFill="1" applyAlignment="1">
      <alignment horizontal="center" vertical="center"/>
    </xf>
    <xf numFmtId="164" fontId="7" fillId="4" borderId="0" xfId="0" applyNumberFormat="1" applyFont="1" applyFill="1" applyBorder="1" applyAlignment="1">
      <alignment vertical="center"/>
    </xf>
    <xf numFmtId="164" fontId="7" fillId="4" borderId="0" xfId="0" applyNumberFormat="1" applyFont="1" applyFill="1" applyAlignment="1">
      <alignment vertical="center"/>
    </xf>
    <xf numFmtId="164" fontId="2" fillId="2" borderId="0" xfId="0" applyNumberFormat="1" applyFont="1" applyFill="1" applyBorder="1" applyAlignment="1">
      <alignment vertical="center"/>
    </xf>
    <xf numFmtId="10" fontId="3" fillId="2" borderId="2" xfId="0" applyNumberFormat="1" applyFont="1" applyFill="1" applyBorder="1" applyAlignment="1">
      <alignment vertical="center"/>
    </xf>
    <xf numFmtId="164" fontId="13" fillId="0" borderId="0" xfId="0" applyNumberFormat="1" applyFont="1" applyFill="1" applyBorder="1" applyAlignment="1" applyProtection="1">
      <alignment horizontal="center" vertical="top"/>
    </xf>
    <xf numFmtId="0" fontId="6" fillId="0" borderId="0" xfId="0" applyFont="1" applyAlignment="1">
      <alignment horizontal="left" vertical="center"/>
    </xf>
    <xf numFmtId="0" fontId="6" fillId="5" borderId="0" xfId="0" applyFont="1" applyFill="1" applyAlignment="1">
      <alignment horizontal="left" vertical="center"/>
    </xf>
    <xf numFmtId="3" fontId="7" fillId="2" borderId="0" xfId="0" applyNumberFormat="1" applyFont="1" applyFill="1" applyAlignment="1">
      <alignment horizontal="right" vertical="center"/>
    </xf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FFFF66"/>
      <color rgb="FF0000FF"/>
      <color rgb="FF00FF00"/>
      <color rgb="FFCCFFCC"/>
      <color rgb="FFFFFFCC"/>
      <color rgb="FFFFFF00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7"/>
  <sheetViews>
    <sheetView tabSelected="1" workbookViewId="0"/>
  </sheetViews>
  <sheetFormatPr defaultColWidth="9.109375" defaultRowHeight="10.199999999999999" x14ac:dyDescent="0.25"/>
  <cols>
    <col min="1" max="1" width="5.77734375" style="3" customWidth="1"/>
    <col min="2" max="2" width="15.77734375" style="2" customWidth="1"/>
    <col min="3" max="3" width="80.77734375" style="2" customWidth="1"/>
    <col min="4" max="4" width="2.77734375" style="2" customWidth="1"/>
    <col min="5" max="16384" width="9.109375" style="2"/>
  </cols>
  <sheetData>
    <row r="1" spans="2:3" x14ac:dyDescent="0.25">
      <c r="C1" s="3"/>
    </row>
    <row r="2" spans="2:3" ht="21" x14ac:dyDescent="0.25">
      <c r="B2" s="4" t="s">
        <v>30</v>
      </c>
      <c r="C2" s="3"/>
    </row>
    <row r="3" spans="2:3" x14ac:dyDescent="0.25">
      <c r="C3" s="3"/>
    </row>
    <row r="4" spans="2:3" ht="20.399999999999999" x14ac:dyDescent="0.25">
      <c r="B4" s="1" t="s">
        <v>31</v>
      </c>
      <c r="C4" s="6" t="s">
        <v>117</v>
      </c>
    </row>
    <row r="5" spans="2:3" ht="20.399999999999999" x14ac:dyDescent="0.25">
      <c r="B5" s="1" t="s">
        <v>32</v>
      </c>
      <c r="C5" s="6" t="s">
        <v>33</v>
      </c>
    </row>
    <row r="6" spans="2:3" ht="30.6" x14ac:dyDescent="0.25">
      <c r="B6" s="1" t="s">
        <v>34</v>
      </c>
      <c r="C6" s="6" t="s">
        <v>35</v>
      </c>
    </row>
    <row r="7" spans="2:3" ht="20.399999999999999" x14ac:dyDescent="0.25">
      <c r="B7" s="1" t="s">
        <v>36</v>
      </c>
      <c r="C7" s="6" t="s">
        <v>37</v>
      </c>
    </row>
    <row r="8" spans="2:3" x14ac:dyDescent="0.25">
      <c r="B8" s="7"/>
      <c r="C8" s="3"/>
    </row>
    <row r="9" spans="2:3" ht="51" x14ac:dyDescent="0.25">
      <c r="B9" s="1" t="s">
        <v>38</v>
      </c>
      <c r="C9" s="6" t="s">
        <v>118</v>
      </c>
    </row>
    <row r="10" spans="2:3" x14ac:dyDescent="0.25">
      <c r="B10" s="7"/>
      <c r="C10" s="3"/>
    </row>
    <row r="11" spans="2:3" x14ac:dyDescent="0.25">
      <c r="B11" s="5" t="s">
        <v>39</v>
      </c>
      <c r="C11" s="6"/>
    </row>
    <row r="12" spans="2:3" x14ac:dyDescent="0.25">
      <c r="B12" s="8" t="s">
        <v>40</v>
      </c>
      <c r="C12" s="6" t="s">
        <v>30</v>
      </c>
    </row>
    <row r="13" spans="2:3" x14ac:dyDescent="0.25">
      <c r="B13" s="8" t="s">
        <v>41</v>
      </c>
      <c r="C13" s="6" t="s">
        <v>42</v>
      </c>
    </row>
    <row r="14" spans="2:3" x14ac:dyDescent="0.25">
      <c r="B14" s="8" t="s">
        <v>43</v>
      </c>
      <c r="C14" s="6" t="s">
        <v>28</v>
      </c>
    </row>
    <row r="15" spans="2:3" x14ac:dyDescent="0.25">
      <c r="B15" s="8" t="s">
        <v>44</v>
      </c>
      <c r="C15" s="6" t="s">
        <v>119</v>
      </c>
    </row>
    <row r="16" spans="2:3" x14ac:dyDescent="0.25">
      <c r="B16" s="8" t="s">
        <v>50</v>
      </c>
      <c r="C16" s="6" t="s">
        <v>120</v>
      </c>
    </row>
    <row r="17" spans="2:3" x14ac:dyDescent="0.25">
      <c r="B17" s="8" t="s">
        <v>45</v>
      </c>
      <c r="C17" s="6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7"/>
  <sheetViews>
    <sheetView zoomScaleNormal="100" workbookViewId="0"/>
  </sheetViews>
  <sheetFormatPr defaultColWidth="9.109375" defaultRowHeight="10.199999999999999" customHeight="1" x14ac:dyDescent="0.25"/>
  <cols>
    <col min="1" max="1" width="5.77734375" style="15" customWidth="1"/>
    <col min="2" max="2" width="45.77734375" style="13" customWidth="1"/>
    <col min="3" max="3" width="8.77734375" style="14" customWidth="1"/>
    <col min="4" max="4" width="10.77734375" style="11" customWidth="1"/>
    <col min="5" max="5" width="2.77734375" style="11" customWidth="1"/>
    <col min="6" max="6" width="55.77734375" style="13" customWidth="1"/>
    <col min="7" max="16384" width="9.109375" style="13"/>
  </cols>
  <sheetData>
    <row r="2" spans="1:10" s="2" customFormat="1" ht="21" x14ac:dyDescent="0.25">
      <c r="A2" s="3"/>
      <c r="B2" s="4" t="s">
        <v>42</v>
      </c>
      <c r="C2" s="3"/>
    </row>
    <row r="4" spans="1:10" s="9" customFormat="1" ht="10.199999999999999" customHeight="1" x14ac:dyDescent="0.25">
      <c r="A4" s="53"/>
      <c r="C4" s="10" t="s">
        <v>8</v>
      </c>
      <c r="D4" s="11"/>
      <c r="E4" s="12"/>
    </row>
    <row r="5" spans="1:10" ht="10.199999999999999" customHeight="1" x14ac:dyDescent="0.25">
      <c r="J5" s="15"/>
    </row>
    <row r="6" spans="1:10" ht="10.199999999999999" customHeight="1" x14ac:dyDescent="0.25">
      <c r="B6" s="16" t="s">
        <v>92</v>
      </c>
      <c r="J6" s="15"/>
    </row>
    <row r="7" spans="1:10" ht="10.199999999999999" customHeight="1" x14ac:dyDescent="0.25">
      <c r="B7" s="13" t="s">
        <v>25</v>
      </c>
      <c r="C7" s="17" t="s">
        <v>9</v>
      </c>
      <c r="D7" s="18">
        <v>900000</v>
      </c>
      <c r="E7" s="19"/>
    </row>
    <row r="8" spans="1:10" ht="10.199999999999999" customHeight="1" x14ac:dyDescent="0.25">
      <c r="B8" s="13" t="s">
        <v>26</v>
      </c>
      <c r="C8" s="17" t="s">
        <v>9</v>
      </c>
      <c r="D8" s="18">
        <v>60000</v>
      </c>
      <c r="E8" s="19"/>
    </row>
    <row r="9" spans="1:10" ht="10.199999999999999" customHeight="1" x14ac:dyDescent="0.25">
      <c r="B9" s="13" t="s">
        <v>27</v>
      </c>
      <c r="C9" s="17" t="s">
        <v>9</v>
      </c>
      <c r="D9" s="18">
        <v>40000</v>
      </c>
      <c r="E9" s="19"/>
    </row>
    <row r="10" spans="1:10" ht="10.199999999999999" customHeight="1" x14ac:dyDescent="0.25">
      <c r="C10" s="17"/>
      <c r="D10" s="19"/>
      <c r="E10" s="19"/>
    </row>
    <row r="11" spans="1:10" ht="10.199999999999999" customHeight="1" x14ac:dyDescent="0.25">
      <c r="B11" s="16" t="s">
        <v>4</v>
      </c>
      <c r="C11" s="17"/>
      <c r="D11" s="19"/>
      <c r="E11" s="19"/>
    </row>
    <row r="12" spans="1:10" ht="10.199999999999999" customHeight="1" x14ac:dyDescent="0.25">
      <c r="B12" s="13" t="s">
        <v>121</v>
      </c>
      <c r="C12" s="17" t="s">
        <v>9</v>
      </c>
      <c r="D12" s="18">
        <v>200000</v>
      </c>
      <c r="E12" s="19"/>
    </row>
    <row r="13" spans="1:10" ht="10.199999999999999" customHeight="1" x14ac:dyDescent="0.25">
      <c r="B13" s="13" t="s">
        <v>122</v>
      </c>
      <c r="C13" s="17" t="s">
        <v>9</v>
      </c>
      <c r="D13" s="18">
        <v>100000</v>
      </c>
      <c r="E13" s="19"/>
    </row>
    <row r="14" spans="1:10" ht="10.199999999999999" customHeight="1" x14ac:dyDescent="0.25">
      <c r="C14" s="17"/>
      <c r="D14" s="19"/>
      <c r="E14" s="19"/>
    </row>
    <row r="15" spans="1:10" ht="10.199999999999999" customHeight="1" x14ac:dyDescent="0.25">
      <c r="B15" s="16" t="s">
        <v>3</v>
      </c>
      <c r="C15" s="17"/>
      <c r="D15" s="19"/>
      <c r="E15" s="19"/>
    </row>
    <row r="16" spans="1:10" ht="10.199999999999999" customHeight="1" x14ac:dyDescent="0.25">
      <c r="B16" s="13" t="s">
        <v>121</v>
      </c>
      <c r="C16" s="17" t="s">
        <v>10</v>
      </c>
      <c r="D16" s="18">
        <v>10</v>
      </c>
      <c r="E16" s="19"/>
    </row>
    <row r="17" spans="2:6" ht="10.199999999999999" customHeight="1" x14ac:dyDescent="0.25">
      <c r="B17" s="13" t="s">
        <v>122</v>
      </c>
      <c r="C17" s="17" t="s">
        <v>10</v>
      </c>
      <c r="D17" s="18">
        <v>7</v>
      </c>
      <c r="E17" s="19"/>
    </row>
    <row r="18" spans="2:6" ht="10.199999999999999" customHeight="1" x14ac:dyDescent="0.25">
      <c r="C18" s="17"/>
      <c r="D18" s="19"/>
      <c r="E18" s="19"/>
    </row>
    <row r="19" spans="2:6" ht="10.199999999999999" customHeight="1" x14ac:dyDescent="0.25">
      <c r="B19" s="20" t="s">
        <v>160</v>
      </c>
      <c r="C19" s="17"/>
      <c r="D19" s="19"/>
      <c r="F19" s="21"/>
    </row>
    <row r="20" spans="2:6" ht="10.199999999999999" customHeight="1" x14ac:dyDescent="0.25">
      <c r="B20" s="13" t="s">
        <v>121</v>
      </c>
      <c r="C20" s="17" t="s">
        <v>11</v>
      </c>
      <c r="D20" s="22">
        <v>0.15</v>
      </c>
      <c r="F20" s="21"/>
    </row>
    <row r="21" spans="2:6" ht="10.199999999999999" customHeight="1" x14ac:dyDescent="0.25">
      <c r="B21" s="13" t="s">
        <v>122</v>
      </c>
      <c r="C21" s="17" t="s">
        <v>11</v>
      </c>
      <c r="D21" s="22">
        <v>0.52500000000000002</v>
      </c>
      <c r="F21" s="21"/>
    </row>
    <row r="23" spans="2:6" ht="10.199999999999999" customHeight="1" x14ac:dyDescent="0.25">
      <c r="B23" s="23" t="s">
        <v>65</v>
      </c>
      <c r="C23" s="17"/>
      <c r="D23" s="19"/>
      <c r="E23" s="19"/>
      <c r="F23" s="21"/>
    </row>
    <row r="24" spans="2:6" ht="10.199999999999999" customHeight="1" x14ac:dyDescent="0.25">
      <c r="B24" s="13" t="s">
        <v>121</v>
      </c>
      <c r="C24" s="17" t="s">
        <v>23</v>
      </c>
      <c r="D24" s="18">
        <v>1000000</v>
      </c>
      <c r="E24" s="19"/>
      <c r="F24" s="21"/>
    </row>
    <row r="25" spans="2:6" ht="10.199999999999999" customHeight="1" x14ac:dyDescent="0.25">
      <c r="B25" s="13" t="s">
        <v>122</v>
      </c>
      <c r="C25" s="17" t="s">
        <v>23</v>
      </c>
      <c r="D25" s="18">
        <v>700000</v>
      </c>
      <c r="E25" s="19"/>
      <c r="F25" s="21"/>
    </row>
    <row r="26" spans="2:6" ht="10.199999999999999" customHeight="1" x14ac:dyDescent="0.25">
      <c r="C26" s="17"/>
      <c r="D26" s="19"/>
      <c r="E26" s="19"/>
      <c r="F26" s="21"/>
    </row>
    <row r="27" spans="2:6" ht="10.199999999999999" customHeight="1" x14ac:dyDescent="0.25">
      <c r="B27" s="23" t="s">
        <v>85</v>
      </c>
      <c r="C27" s="17"/>
      <c r="F27" s="21"/>
    </row>
    <row r="28" spans="2:6" ht="10.199999999999999" customHeight="1" x14ac:dyDescent="0.25">
      <c r="B28" s="13" t="s">
        <v>80</v>
      </c>
      <c r="C28" s="17" t="s">
        <v>23</v>
      </c>
      <c r="D28" s="24">
        <v>50000</v>
      </c>
    </row>
    <row r="29" spans="2:6" ht="10.199999999999999" customHeight="1" x14ac:dyDescent="0.25">
      <c r="B29" s="13" t="s">
        <v>81</v>
      </c>
      <c r="C29" s="17" t="s">
        <v>23</v>
      </c>
      <c r="D29" s="24">
        <v>100000</v>
      </c>
    </row>
    <row r="30" spans="2:6" ht="10.199999999999999" customHeight="1" x14ac:dyDescent="0.25">
      <c r="B30" s="13" t="s">
        <v>82</v>
      </c>
      <c r="C30" s="17" t="s">
        <v>23</v>
      </c>
      <c r="D30" s="24">
        <v>50000</v>
      </c>
    </row>
    <row r="31" spans="2:6" ht="10.199999999999999" customHeight="1" x14ac:dyDescent="0.25">
      <c r="B31" s="13" t="s">
        <v>83</v>
      </c>
      <c r="C31" s="17" t="s">
        <v>23</v>
      </c>
      <c r="D31" s="24">
        <v>100000</v>
      </c>
    </row>
    <row r="32" spans="2:6" ht="10.199999999999999" customHeight="1" x14ac:dyDescent="0.25">
      <c r="B32" s="13" t="s">
        <v>58</v>
      </c>
      <c r="C32" s="17" t="s">
        <v>23</v>
      </c>
      <c r="D32" s="24">
        <v>60000</v>
      </c>
    </row>
    <row r="33" spans="2:4" ht="10.199999999999999" customHeight="1" x14ac:dyDescent="0.25">
      <c r="B33" s="13" t="s">
        <v>84</v>
      </c>
      <c r="C33" s="17" t="s">
        <v>23</v>
      </c>
      <c r="D33" s="24">
        <v>40000</v>
      </c>
    </row>
    <row r="34" spans="2:4" ht="10.199999999999999" customHeight="1" x14ac:dyDescent="0.25">
      <c r="B34" s="13" t="s">
        <v>86</v>
      </c>
      <c r="C34" s="17" t="s">
        <v>23</v>
      </c>
      <c r="D34" s="24">
        <v>70000</v>
      </c>
    </row>
    <row r="35" spans="2:4" ht="10.199999999999999" customHeight="1" x14ac:dyDescent="0.25">
      <c r="B35" s="13" t="s">
        <v>87</v>
      </c>
      <c r="C35" s="17" t="s">
        <v>23</v>
      </c>
      <c r="D35" s="24">
        <v>180000</v>
      </c>
    </row>
    <row r="36" spans="2:4" ht="10.199999999999999" customHeight="1" x14ac:dyDescent="0.25">
      <c r="B36" s="13" t="s">
        <v>59</v>
      </c>
      <c r="C36" s="17" t="s">
        <v>23</v>
      </c>
      <c r="D36" s="24">
        <v>128000</v>
      </c>
    </row>
    <row r="37" spans="2:4" ht="10.199999999999999" customHeight="1" x14ac:dyDescent="0.25">
      <c r="B37" s="13" t="s">
        <v>88</v>
      </c>
      <c r="C37" s="17" t="s">
        <v>23</v>
      </c>
      <c r="D37" s="24">
        <v>110000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5"/>
  <sheetViews>
    <sheetView zoomScaleNormal="100" workbookViewId="0"/>
  </sheetViews>
  <sheetFormatPr defaultColWidth="9.109375" defaultRowHeight="10.199999999999999" customHeight="1" x14ac:dyDescent="0.25"/>
  <cols>
    <col min="1" max="1" width="5.77734375" style="15" customWidth="1"/>
    <col min="2" max="2" width="3.77734375" style="13" customWidth="1"/>
    <col min="3" max="3" width="45.77734375" style="13" customWidth="1"/>
    <col min="4" max="4" width="8.77734375" style="14" customWidth="1"/>
    <col min="5" max="5" width="10.77734375" style="25" customWidth="1"/>
    <col min="6" max="6" width="2.77734375" style="13" customWidth="1"/>
    <col min="7" max="7" width="55.77734375" style="13" customWidth="1"/>
    <col min="8" max="16384" width="9.109375" style="13"/>
  </cols>
  <sheetData>
    <row r="2" spans="1:7" s="2" customFormat="1" ht="21" x14ac:dyDescent="0.25">
      <c r="A2" s="3"/>
      <c r="B2" s="4" t="s">
        <v>28</v>
      </c>
      <c r="C2" s="3"/>
    </row>
    <row r="4" spans="1:7" ht="10.199999999999999" customHeight="1" x14ac:dyDescent="0.25">
      <c r="D4" s="10" t="s">
        <v>8</v>
      </c>
    </row>
    <row r="6" spans="1:7" ht="10.199999999999999" customHeight="1" x14ac:dyDescent="0.25">
      <c r="B6" s="60" t="s">
        <v>90</v>
      </c>
      <c r="C6" s="60"/>
      <c r="D6" s="60"/>
      <c r="E6" s="60"/>
      <c r="F6" s="60"/>
      <c r="G6" s="60"/>
    </row>
    <row r="7" spans="1:7" ht="10.199999999999999" customHeight="1" x14ac:dyDescent="0.25">
      <c r="D7" s="17"/>
    </row>
    <row r="8" spans="1:7" ht="10.199999999999999" customHeight="1" x14ac:dyDescent="0.25">
      <c r="B8" s="59" t="s">
        <v>107</v>
      </c>
      <c r="C8" s="59"/>
      <c r="D8" s="17"/>
    </row>
    <row r="9" spans="1:7" ht="10.199999999999999" customHeight="1" x14ac:dyDescent="0.25">
      <c r="D9" s="17"/>
    </row>
    <row r="10" spans="1:7" ht="10.199999999999999" customHeight="1" x14ac:dyDescent="0.25">
      <c r="C10" s="13" t="s">
        <v>2</v>
      </c>
      <c r="D10" s="17" t="s">
        <v>9</v>
      </c>
      <c r="E10" s="18">
        <v>900000</v>
      </c>
    </row>
    <row r="11" spans="1:7" ht="10.199999999999999" customHeight="1" x14ac:dyDescent="0.25">
      <c r="C11" s="13" t="s">
        <v>0</v>
      </c>
      <c r="D11" s="17" t="s">
        <v>9</v>
      </c>
      <c r="E11" s="18">
        <v>60000</v>
      </c>
    </row>
    <row r="12" spans="1:7" ht="10.199999999999999" customHeight="1" x14ac:dyDescent="0.25">
      <c r="C12" s="13" t="s">
        <v>1</v>
      </c>
      <c r="D12" s="17" t="s">
        <v>9</v>
      </c>
      <c r="E12" s="18">
        <v>40000</v>
      </c>
    </row>
    <row r="13" spans="1:7" ht="10.199999999999999" customHeight="1" x14ac:dyDescent="0.25">
      <c r="B13" s="58" t="s">
        <v>116</v>
      </c>
      <c r="C13" s="27" t="s">
        <v>5</v>
      </c>
      <c r="D13" s="17" t="s">
        <v>9</v>
      </c>
      <c r="E13" s="31">
        <f>SUM(E10:E12)</f>
        <v>1000000</v>
      </c>
    </row>
    <row r="14" spans="1:7" ht="10.199999999999999" customHeight="1" x14ac:dyDescent="0.25">
      <c r="D14" s="17"/>
    </row>
    <row r="15" spans="1:7" ht="10.199999999999999" customHeight="1" x14ac:dyDescent="0.25">
      <c r="B15" s="58" t="s">
        <v>116</v>
      </c>
      <c r="C15" s="13" t="s">
        <v>4</v>
      </c>
      <c r="D15" s="17" t="s">
        <v>9</v>
      </c>
      <c r="E15" s="18">
        <v>200000</v>
      </c>
    </row>
    <row r="16" spans="1:7" ht="10.199999999999999" customHeight="1" x14ac:dyDescent="0.25">
      <c r="D16" s="17"/>
    </row>
    <row r="17" spans="2:7" ht="10.199999999999999" customHeight="1" x14ac:dyDescent="0.25">
      <c r="C17" s="13" t="s">
        <v>5</v>
      </c>
      <c r="D17" s="17" t="s">
        <v>9</v>
      </c>
      <c r="E17" s="29">
        <f>E13</f>
        <v>1000000</v>
      </c>
    </row>
    <row r="18" spans="2:7" ht="10.199999999999999" customHeight="1" x14ac:dyDescent="0.25">
      <c r="C18" s="13" t="s">
        <v>4</v>
      </c>
      <c r="D18" s="17" t="s">
        <v>9</v>
      </c>
      <c r="E18" s="55">
        <f>-E15</f>
        <v>-200000</v>
      </c>
    </row>
    <row r="19" spans="2:7" ht="10.199999999999999" customHeight="1" x14ac:dyDescent="0.25">
      <c r="B19" s="58" t="s">
        <v>116</v>
      </c>
      <c r="C19" s="27" t="s">
        <v>6</v>
      </c>
      <c r="D19" s="17" t="s">
        <v>9</v>
      </c>
      <c r="E19" s="31">
        <f>SUM(E17:E18)</f>
        <v>800000</v>
      </c>
    </row>
    <row r="21" spans="2:7" ht="10.199999999999999" customHeight="1" x14ac:dyDescent="0.25">
      <c r="B21" s="58" t="s">
        <v>116</v>
      </c>
      <c r="C21" s="13" t="s">
        <v>3</v>
      </c>
      <c r="D21" s="17" t="s">
        <v>10</v>
      </c>
      <c r="E21" s="30">
        <v>10</v>
      </c>
    </row>
    <row r="23" spans="2:7" ht="10.199999999999999" customHeight="1" x14ac:dyDescent="0.25">
      <c r="C23" s="13" t="s">
        <v>6</v>
      </c>
      <c r="D23" s="17" t="s">
        <v>9</v>
      </c>
      <c r="E23" s="61">
        <f>E19</f>
        <v>800000</v>
      </c>
    </row>
    <row r="24" spans="2:7" ht="10.199999999999999" customHeight="1" x14ac:dyDescent="0.25">
      <c r="C24" s="13" t="s">
        <v>3</v>
      </c>
      <c r="D24" s="17" t="s">
        <v>10</v>
      </c>
      <c r="E24" s="55">
        <f>E21</f>
        <v>10</v>
      </c>
    </row>
    <row r="25" spans="2:7" ht="10.199999999999999" customHeight="1" thickBot="1" x14ac:dyDescent="0.3">
      <c r="B25" s="58" t="s">
        <v>116</v>
      </c>
      <c r="C25" s="27" t="s">
        <v>7</v>
      </c>
      <c r="D25" s="17" t="s">
        <v>19</v>
      </c>
      <c r="E25" s="28">
        <f>E19/E24</f>
        <v>80000</v>
      </c>
      <c r="G25" s="32" t="s">
        <v>16</v>
      </c>
    </row>
    <row r="26" spans="2:7" ht="10.199999999999999" customHeight="1" thickTop="1" x14ac:dyDescent="0.25">
      <c r="D26" s="17"/>
    </row>
    <row r="27" spans="2:7" ht="10.199999999999999" customHeight="1" x14ac:dyDescent="0.25">
      <c r="D27" s="17"/>
    </row>
    <row r="28" spans="2:7" ht="10.199999999999999" customHeight="1" x14ac:dyDescent="0.25">
      <c r="B28" s="59" t="s">
        <v>93</v>
      </c>
      <c r="C28" s="59"/>
      <c r="D28" s="17"/>
    </row>
    <row r="29" spans="2:7" ht="10.199999999999999" customHeight="1" x14ac:dyDescent="0.25">
      <c r="D29" s="17"/>
    </row>
    <row r="30" spans="2:7" ht="10.199999999999999" customHeight="1" x14ac:dyDescent="0.25">
      <c r="C30" s="13" t="s">
        <v>7</v>
      </c>
      <c r="D30" s="17" t="s">
        <v>19</v>
      </c>
      <c r="E30" s="29">
        <f>E25</f>
        <v>80000</v>
      </c>
    </row>
    <row r="31" spans="2:7" ht="10.199999999999999" customHeight="1" x14ac:dyDescent="0.25">
      <c r="C31" s="13" t="s">
        <v>103</v>
      </c>
      <c r="D31" s="17" t="s">
        <v>10</v>
      </c>
      <c r="E31" s="33">
        <f>3+6/12</f>
        <v>3.5</v>
      </c>
      <c r="G31" s="13" t="s">
        <v>21</v>
      </c>
    </row>
    <row r="32" spans="2:7" ht="10.199999999999999" customHeight="1" x14ac:dyDescent="0.25">
      <c r="B32" s="58" t="s">
        <v>116</v>
      </c>
      <c r="C32" s="34" t="s">
        <v>102</v>
      </c>
      <c r="D32" s="17" t="s">
        <v>9</v>
      </c>
      <c r="E32" s="35">
        <f>E30*E31</f>
        <v>280000</v>
      </c>
      <c r="G32" s="32" t="s">
        <v>18</v>
      </c>
    </row>
    <row r="33" spans="2:7" ht="10.199999999999999" customHeight="1" x14ac:dyDescent="0.25">
      <c r="D33" s="17"/>
    </row>
    <row r="34" spans="2:7" ht="10.199999999999999" customHeight="1" x14ac:dyDescent="0.25">
      <c r="C34" s="13" t="s">
        <v>5</v>
      </c>
      <c r="D34" s="17" t="s">
        <v>9</v>
      </c>
      <c r="E34" s="29">
        <f>E13</f>
        <v>1000000</v>
      </c>
    </row>
    <row r="35" spans="2:7" ht="10.199999999999999" customHeight="1" x14ac:dyDescent="0.25">
      <c r="C35" s="13" t="s">
        <v>102</v>
      </c>
      <c r="D35" s="17" t="s">
        <v>9</v>
      </c>
      <c r="E35" s="29">
        <f>-E32</f>
        <v>-280000</v>
      </c>
      <c r="G35" s="32"/>
    </row>
    <row r="36" spans="2:7" ht="10.199999999999999" customHeight="1" thickBot="1" x14ac:dyDescent="0.3">
      <c r="B36" s="58" t="s">
        <v>116</v>
      </c>
      <c r="C36" s="34" t="s">
        <v>101</v>
      </c>
      <c r="D36" s="17" t="s">
        <v>9</v>
      </c>
      <c r="E36" s="36">
        <f>SUM(E34:E35)</f>
        <v>720000</v>
      </c>
    </row>
    <row r="37" spans="2:7" ht="10.199999999999999" customHeight="1" thickTop="1" x14ac:dyDescent="0.25"/>
    <row r="40" spans="2:7" ht="10.199999999999999" customHeight="1" x14ac:dyDescent="0.25">
      <c r="B40" s="60" t="s">
        <v>91</v>
      </c>
      <c r="C40" s="60"/>
      <c r="D40" s="60"/>
      <c r="E40" s="60"/>
      <c r="F40" s="60"/>
      <c r="G40" s="60"/>
    </row>
    <row r="42" spans="2:7" ht="10.199999999999999" customHeight="1" x14ac:dyDescent="0.25">
      <c r="B42" s="59" t="s">
        <v>123</v>
      </c>
      <c r="C42" s="59"/>
      <c r="D42" s="17"/>
    </row>
    <row r="44" spans="2:7" ht="10.199999999999999" customHeight="1" x14ac:dyDescent="0.25">
      <c r="B44" s="58" t="s">
        <v>116</v>
      </c>
      <c r="C44" s="47" t="s">
        <v>5</v>
      </c>
      <c r="D44" s="17" t="s">
        <v>9</v>
      </c>
      <c r="E44" s="29">
        <f>E13</f>
        <v>1000000</v>
      </c>
      <c r="F44" s="47"/>
      <c r="G44" s="32" t="s">
        <v>94</v>
      </c>
    </row>
    <row r="45" spans="2:7" ht="10.199999999999999" customHeight="1" x14ac:dyDescent="0.25">
      <c r="B45" s="58" t="s">
        <v>116</v>
      </c>
      <c r="C45" s="47" t="s">
        <v>4</v>
      </c>
      <c r="D45" s="17" t="s">
        <v>9</v>
      </c>
      <c r="E45" s="54">
        <f>E15</f>
        <v>200000</v>
      </c>
      <c r="F45" s="47"/>
    </row>
    <row r="46" spans="2:7" ht="10.199999999999999" customHeight="1" x14ac:dyDescent="0.25">
      <c r="B46" s="58" t="s">
        <v>116</v>
      </c>
      <c r="C46" s="47" t="s">
        <v>6</v>
      </c>
      <c r="D46" s="17" t="s">
        <v>9</v>
      </c>
      <c r="E46" s="48">
        <f>E19</f>
        <v>800000</v>
      </c>
      <c r="F46" s="47"/>
      <c r="G46" s="32" t="s">
        <v>94</v>
      </c>
    </row>
    <row r="47" spans="2:7" ht="10.199999999999999" customHeight="1" x14ac:dyDescent="0.25">
      <c r="B47" s="58" t="s">
        <v>116</v>
      </c>
      <c r="C47" s="47" t="s">
        <v>3</v>
      </c>
      <c r="D47" s="17" t="s">
        <v>10</v>
      </c>
      <c r="E47" s="54">
        <f>E21</f>
        <v>10</v>
      </c>
      <c r="F47" s="47"/>
    </row>
    <row r="48" spans="2:7" ht="10.199999999999999" customHeight="1" x14ac:dyDescent="0.25">
      <c r="B48" s="58" t="s">
        <v>116</v>
      </c>
      <c r="C48" s="47" t="s">
        <v>7</v>
      </c>
      <c r="D48" s="17" t="s">
        <v>19</v>
      </c>
      <c r="E48" s="48">
        <f>E25</f>
        <v>80000</v>
      </c>
      <c r="F48" s="47"/>
      <c r="G48" s="32" t="s">
        <v>94</v>
      </c>
    </row>
    <row r="51" spans="2:7" ht="10.199999999999999" customHeight="1" x14ac:dyDescent="0.25">
      <c r="B51" s="59" t="s">
        <v>124</v>
      </c>
      <c r="C51" s="59"/>
      <c r="D51" s="59"/>
    </row>
    <row r="52" spans="2:7" ht="10.199999999999999" customHeight="1" x14ac:dyDescent="0.25">
      <c r="D52" s="17"/>
    </row>
    <row r="53" spans="2:7" ht="10.199999999999999" customHeight="1" x14ac:dyDescent="0.25">
      <c r="C53" s="13" t="s">
        <v>125</v>
      </c>
      <c r="D53" s="17" t="s">
        <v>19</v>
      </c>
      <c r="E53" s="29">
        <f>E48</f>
        <v>80000</v>
      </c>
    </row>
    <row r="54" spans="2:7" ht="10.199999999999999" customHeight="1" x14ac:dyDescent="0.25">
      <c r="C54" s="13" t="s">
        <v>138</v>
      </c>
      <c r="D54" s="17" t="s">
        <v>10</v>
      </c>
      <c r="E54" s="37">
        <v>5</v>
      </c>
      <c r="G54" s="32" t="s">
        <v>54</v>
      </c>
    </row>
    <row r="55" spans="2:7" ht="10.199999999999999" customHeight="1" x14ac:dyDescent="0.25">
      <c r="B55" s="58" t="s">
        <v>116</v>
      </c>
      <c r="C55" s="27" t="s">
        <v>126</v>
      </c>
      <c r="D55" s="17" t="s">
        <v>9</v>
      </c>
      <c r="E55" s="31">
        <f>E53*E54</f>
        <v>400000</v>
      </c>
      <c r="G55" s="32" t="s">
        <v>18</v>
      </c>
    </row>
    <row r="56" spans="2:7" s="15" customFormat="1" ht="10.199999999999999" customHeight="1" x14ac:dyDescent="0.25">
      <c r="D56" s="41"/>
      <c r="E56" s="50"/>
    </row>
    <row r="57" spans="2:7" ht="10.199999999999999" customHeight="1" x14ac:dyDescent="0.25">
      <c r="C57" s="13" t="s">
        <v>5</v>
      </c>
      <c r="D57" s="17" t="s">
        <v>9</v>
      </c>
      <c r="E57" s="29">
        <f>E44</f>
        <v>1000000</v>
      </c>
    </row>
    <row r="58" spans="2:7" ht="10.199999999999999" customHeight="1" x14ac:dyDescent="0.25">
      <c r="C58" s="13" t="s">
        <v>127</v>
      </c>
      <c r="D58" s="17" t="s">
        <v>9</v>
      </c>
      <c r="E58" s="29">
        <f>-E55</f>
        <v>-400000</v>
      </c>
      <c r="G58" s="32"/>
    </row>
    <row r="59" spans="2:7" ht="10.199999999999999" customHeight="1" thickBot="1" x14ac:dyDescent="0.3">
      <c r="B59" s="58" t="s">
        <v>116</v>
      </c>
      <c r="C59" s="27" t="s">
        <v>128</v>
      </c>
      <c r="D59" s="17" t="s">
        <v>9</v>
      </c>
      <c r="E59" s="28">
        <f>SUM(E57:E58)</f>
        <v>600000</v>
      </c>
    </row>
    <row r="60" spans="2:7" ht="10.199999999999999" customHeight="1" thickTop="1" x14ac:dyDescent="0.25"/>
    <row r="62" spans="2:7" ht="10.199999999999999" customHeight="1" x14ac:dyDescent="0.25">
      <c r="B62" s="59" t="s">
        <v>129</v>
      </c>
      <c r="C62" s="59"/>
      <c r="D62" s="17"/>
    </row>
    <row r="63" spans="2:7" ht="10.199999999999999" customHeight="1" x14ac:dyDescent="0.25">
      <c r="D63" s="17"/>
    </row>
    <row r="64" spans="2:7" ht="10.199999999999999" customHeight="1" x14ac:dyDescent="0.25">
      <c r="B64" s="58" t="s">
        <v>116</v>
      </c>
      <c r="C64" s="47" t="s">
        <v>5</v>
      </c>
      <c r="D64" s="17" t="s">
        <v>9</v>
      </c>
      <c r="E64" s="29">
        <f>E44</f>
        <v>1000000</v>
      </c>
      <c r="G64" s="13" t="s">
        <v>104</v>
      </c>
    </row>
    <row r="65" spans="2:7" ht="10.199999999999999" customHeight="1" x14ac:dyDescent="0.25">
      <c r="D65" s="17"/>
    </row>
    <row r="66" spans="2:7" ht="10.199999999999999" customHeight="1" x14ac:dyDescent="0.25">
      <c r="B66" s="58" t="s">
        <v>116</v>
      </c>
      <c r="C66" s="13" t="s">
        <v>60</v>
      </c>
      <c r="D66" s="17" t="s">
        <v>9</v>
      </c>
      <c r="E66" s="30">
        <v>100000</v>
      </c>
    </row>
    <row r="67" spans="2:7" ht="10.199999999999999" customHeight="1" x14ac:dyDescent="0.25">
      <c r="D67" s="17"/>
    </row>
    <row r="68" spans="2:7" ht="10.199999999999999" customHeight="1" x14ac:dyDescent="0.25">
      <c r="C68" s="13" t="s">
        <v>130</v>
      </c>
      <c r="D68" s="17" t="s">
        <v>9</v>
      </c>
      <c r="E68" s="29">
        <f>E59</f>
        <v>600000</v>
      </c>
    </row>
    <row r="69" spans="2:7" ht="10.199999999999999" customHeight="1" x14ac:dyDescent="0.25">
      <c r="C69" s="13" t="s">
        <v>60</v>
      </c>
      <c r="D69" s="17" t="s">
        <v>9</v>
      </c>
      <c r="E69" s="55">
        <f>-E66</f>
        <v>-100000</v>
      </c>
    </row>
    <row r="70" spans="2:7" ht="10.199999999999999" customHeight="1" x14ac:dyDescent="0.25">
      <c r="B70" s="58" t="s">
        <v>116</v>
      </c>
      <c r="C70" s="27" t="s">
        <v>61</v>
      </c>
      <c r="D70" s="17" t="s">
        <v>9</v>
      </c>
      <c r="E70" s="31">
        <f>SUM(E68:E69)</f>
        <v>500000</v>
      </c>
    </row>
    <row r="71" spans="2:7" ht="10.199999999999999" customHeight="1" x14ac:dyDescent="0.25">
      <c r="G71" s="32"/>
    </row>
    <row r="72" spans="2:7" ht="10.199999999999999" customHeight="1" x14ac:dyDescent="0.25">
      <c r="C72" s="13" t="s">
        <v>95</v>
      </c>
      <c r="D72" s="17" t="s">
        <v>10</v>
      </c>
      <c r="E72" s="30">
        <v>7</v>
      </c>
      <c r="G72" s="32"/>
    </row>
    <row r="73" spans="2:7" ht="10.199999999999999" customHeight="1" x14ac:dyDescent="0.25">
      <c r="C73" s="13" t="s">
        <v>138</v>
      </c>
      <c r="D73" s="17" t="s">
        <v>10</v>
      </c>
      <c r="E73" s="55">
        <f>-E54</f>
        <v>-5</v>
      </c>
      <c r="G73" s="32" t="s">
        <v>54</v>
      </c>
    </row>
    <row r="74" spans="2:7" ht="10.199999999999999" customHeight="1" x14ac:dyDescent="0.25">
      <c r="B74" s="58" t="s">
        <v>116</v>
      </c>
      <c r="C74" s="27" t="s">
        <v>62</v>
      </c>
      <c r="D74" s="17" t="s">
        <v>10</v>
      </c>
      <c r="E74" s="31">
        <f>SUM(E72:E73)</f>
        <v>2</v>
      </c>
      <c r="G74" s="32"/>
    </row>
    <row r="75" spans="2:7" ht="10.199999999999999" customHeight="1" x14ac:dyDescent="0.25">
      <c r="G75" s="32"/>
    </row>
    <row r="76" spans="2:7" ht="10.199999999999999" customHeight="1" x14ac:dyDescent="0.25">
      <c r="C76" s="13" t="s">
        <v>61</v>
      </c>
      <c r="D76" s="17" t="s">
        <v>9</v>
      </c>
      <c r="E76" s="29">
        <f>E70</f>
        <v>500000</v>
      </c>
      <c r="G76" s="32"/>
    </row>
    <row r="77" spans="2:7" ht="10.199999999999999" customHeight="1" x14ac:dyDescent="0.25">
      <c r="C77" s="13" t="s">
        <v>62</v>
      </c>
      <c r="D77" s="17" t="s">
        <v>10</v>
      </c>
      <c r="E77" s="29">
        <f>E74</f>
        <v>2</v>
      </c>
      <c r="G77" s="32"/>
    </row>
    <row r="78" spans="2:7" ht="10.199999999999999" customHeight="1" thickBot="1" x14ac:dyDescent="0.3">
      <c r="B78" s="58" t="s">
        <v>116</v>
      </c>
      <c r="C78" s="27" t="s">
        <v>131</v>
      </c>
      <c r="D78" s="17" t="s">
        <v>19</v>
      </c>
      <c r="E78" s="28">
        <f>E70/E77</f>
        <v>250000</v>
      </c>
      <c r="G78" s="32" t="s">
        <v>24</v>
      </c>
    </row>
    <row r="79" spans="2:7" ht="10.199999999999999" customHeight="1" thickTop="1" x14ac:dyDescent="0.25"/>
    <row r="81" spans="2:7" ht="10.199999999999999" customHeight="1" x14ac:dyDescent="0.25">
      <c r="B81" s="59" t="s">
        <v>96</v>
      </c>
      <c r="C81" s="59"/>
      <c r="D81" s="17"/>
    </row>
    <row r="82" spans="2:7" ht="10.199999999999999" customHeight="1" x14ac:dyDescent="0.25">
      <c r="D82" s="17"/>
    </row>
    <row r="83" spans="2:7" ht="10.199999999999999" customHeight="1" x14ac:dyDescent="0.25">
      <c r="C83" s="13" t="s">
        <v>132</v>
      </c>
      <c r="D83" s="17" t="s">
        <v>19</v>
      </c>
      <c r="E83" s="29">
        <f>E78</f>
        <v>250000</v>
      </c>
    </row>
    <row r="84" spans="2:7" ht="10.199999999999999" customHeight="1" x14ac:dyDescent="0.25">
      <c r="C84" s="13" t="s">
        <v>133</v>
      </c>
      <c r="D84" s="17" t="s">
        <v>10</v>
      </c>
      <c r="E84" s="39">
        <f>1+9/12</f>
        <v>1.75</v>
      </c>
      <c r="G84" s="13" t="s">
        <v>53</v>
      </c>
    </row>
    <row r="85" spans="2:7" ht="10.199999999999999" customHeight="1" x14ac:dyDescent="0.25">
      <c r="C85" s="27" t="s">
        <v>143</v>
      </c>
      <c r="D85" s="17" t="s">
        <v>9</v>
      </c>
      <c r="E85" s="31">
        <f>E83*E84</f>
        <v>437500</v>
      </c>
      <c r="G85" s="32" t="s">
        <v>18</v>
      </c>
    </row>
    <row r="86" spans="2:7" s="15" customFormat="1" ht="10.199999999999999" customHeight="1" x14ac:dyDescent="0.25">
      <c r="C86" s="40"/>
      <c r="D86" s="41"/>
      <c r="E86" s="42"/>
      <c r="G86" s="43"/>
    </row>
    <row r="87" spans="2:7" s="15" customFormat="1" ht="10.199999999999999" customHeight="1" x14ac:dyDescent="0.25">
      <c r="C87" s="13" t="s">
        <v>97</v>
      </c>
      <c r="D87" s="41"/>
      <c r="E87" s="42"/>
      <c r="G87" s="43"/>
    </row>
    <row r="88" spans="2:7" ht="10.199999999999999" customHeight="1" x14ac:dyDescent="0.25">
      <c r="C88" s="13" t="s">
        <v>134</v>
      </c>
      <c r="D88" s="17" t="s">
        <v>9</v>
      </c>
      <c r="E88" s="29">
        <f>E55</f>
        <v>400000</v>
      </c>
    </row>
    <row r="89" spans="2:7" ht="10.199999999999999" customHeight="1" x14ac:dyDescent="0.25">
      <c r="C89" s="13" t="s">
        <v>135</v>
      </c>
      <c r="D89" s="17" t="s">
        <v>9</v>
      </c>
      <c r="E89" s="29">
        <f>E85</f>
        <v>437500</v>
      </c>
    </row>
    <row r="90" spans="2:7" ht="10.199999999999999" customHeight="1" x14ac:dyDescent="0.25">
      <c r="B90" s="58" t="s">
        <v>116</v>
      </c>
      <c r="C90" s="34" t="s">
        <v>102</v>
      </c>
      <c r="D90" s="17" t="s">
        <v>9</v>
      </c>
      <c r="E90" s="35">
        <f>SUM(E88:E89)</f>
        <v>837500</v>
      </c>
    </row>
    <row r="91" spans="2:7" ht="10.199999999999999" customHeight="1" x14ac:dyDescent="0.25">
      <c r="D91" s="17"/>
    </row>
    <row r="92" spans="2:7" ht="10.199999999999999" customHeight="1" x14ac:dyDescent="0.25">
      <c r="C92" s="13" t="s">
        <v>5</v>
      </c>
      <c r="D92" s="17" t="s">
        <v>9</v>
      </c>
      <c r="E92" s="29">
        <f>E44</f>
        <v>1000000</v>
      </c>
    </row>
    <row r="93" spans="2:7" ht="10.199999999999999" customHeight="1" x14ac:dyDescent="0.25">
      <c r="C93" s="13" t="s">
        <v>102</v>
      </c>
      <c r="D93" s="17" t="s">
        <v>9</v>
      </c>
      <c r="E93" s="29">
        <f>-E90</f>
        <v>-837500</v>
      </c>
      <c r="G93" s="32"/>
    </row>
    <row r="94" spans="2:7" ht="10.199999999999999" customHeight="1" thickBot="1" x14ac:dyDescent="0.3">
      <c r="B94" s="58" t="s">
        <v>116</v>
      </c>
      <c r="C94" s="34" t="s">
        <v>101</v>
      </c>
      <c r="D94" s="17" t="s">
        <v>9</v>
      </c>
      <c r="E94" s="36">
        <f>SUM(E92:E93)</f>
        <v>162500</v>
      </c>
    </row>
    <row r="95" spans="2:7" ht="10.199999999999999" customHeight="1" thickTop="1" x14ac:dyDescent="0.25"/>
  </sheetData>
  <mergeCells count="8">
    <mergeCell ref="B81:C81"/>
    <mergeCell ref="B40:G40"/>
    <mergeCell ref="B6:G6"/>
    <mergeCell ref="B8:C8"/>
    <mergeCell ref="B28:C28"/>
    <mergeCell ref="B51:D51"/>
    <mergeCell ref="B62:C62"/>
    <mergeCell ref="B42:C42"/>
  </mergeCells>
  <phoneticPr fontId="0" type="noConversion"/>
  <pageMargins left="0.75" right="0.75" top="1" bottom="0.7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83"/>
  <sheetViews>
    <sheetView workbookViewId="0"/>
  </sheetViews>
  <sheetFormatPr defaultColWidth="9.109375" defaultRowHeight="10.199999999999999" customHeight="1" x14ac:dyDescent="0.25"/>
  <cols>
    <col min="1" max="1" width="5.77734375" style="15" customWidth="1"/>
    <col min="2" max="2" width="3.77734375" style="13" customWidth="1"/>
    <col min="3" max="3" width="45.77734375" style="13" customWidth="1"/>
    <col min="4" max="4" width="8.77734375" style="14" customWidth="1"/>
    <col min="5" max="5" width="10.77734375" style="25" customWidth="1"/>
    <col min="6" max="6" width="2.77734375" style="13" customWidth="1"/>
    <col min="7" max="7" width="55.77734375" style="13" customWidth="1"/>
    <col min="8" max="16384" width="9.109375" style="13"/>
  </cols>
  <sheetData>
    <row r="2" spans="1:7" s="2" customFormat="1" ht="21" x14ac:dyDescent="0.25">
      <c r="A2" s="3"/>
      <c r="B2" s="4" t="s">
        <v>119</v>
      </c>
      <c r="C2" s="3"/>
    </row>
    <row r="4" spans="1:7" ht="10.199999999999999" customHeight="1" x14ac:dyDescent="0.25">
      <c r="D4" s="10" t="s">
        <v>8</v>
      </c>
    </row>
    <row r="6" spans="1:7" ht="10.199999999999999" customHeight="1" x14ac:dyDescent="0.25">
      <c r="B6" s="60" t="s">
        <v>90</v>
      </c>
      <c r="C6" s="60"/>
      <c r="D6" s="60"/>
      <c r="E6" s="60"/>
      <c r="F6" s="60"/>
      <c r="G6" s="60"/>
    </row>
    <row r="7" spans="1:7" ht="10.199999999999999" customHeight="1" x14ac:dyDescent="0.25">
      <c r="D7" s="17"/>
    </row>
    <row r="8" spans="1:7" ht="10.199999999999999" customHeight="1" x14ac:dyDescent="0.25">
      <c r="B8" s="59" t="s">
        <v>107</v>
      </c>
      <c r="C8" s="59"/>
      <c r="D8" s="17"/>
    </row>
    <row r="9" spans="1:7" ht="10.199999999999999" customHeight="1" x14ac:dyDescent="0.25">
      <c r="D9" s="17"/>
      <c r="E9" s="26"/>
    </row>
    <row r="10" spans="1:7" ht="10.199999999999999" customHeight="1" x14ac:dyDescent="0.25">
      <c r="C10" s="13" t="s">
        <v>2</v>
      </c>
      <c r="D10" s="17" t="s">
        <v>9</v>
      </c>
      <c r="E10" s="18">
        <v>900000</v>
      </c>
    </row>
    <row r="11" spans="1:7" ht="10.199999999999999" customHeight="1" x14ac:dyDescent="0.25">
      <c r="C11" s="13" t="s">
        <v>0</v>
      </c>
      <c r="D11" s="17" t="s">
        <v>9</v>
      </c>
      <c r="E11" s="18">
        <v>60000</v>
      </c>
    </row>
    <row r="12" spans="1:7" ht="10.199999999999999" customHeight="1" x14ac:dyDescent="0.25">
      <c r="C12" s="13" t="s">
        <v>1</v>
      </c>
      <c r="D12" s="17" t="s">
        <v>9</v>
      </c>
      <c r="E12" s="18">
        <v>40000</v>
      </c>
    </row>
    <row r="13" spans="1:7" ht="10.199999999999999" customHeight="1" x14ac:dyDescent="0.25">
      <c r="B13" s="58" t="s">
        <v>116</v>
      </c>
      <c r="C13" s="27" t="s">
        <v>5</v>
      </c>
      <c r="D13" s="17" t="s">
        <v>9</v>
      </c>
      <c r="E13" s="31">
        <f>SUM(E10:E12)</f>
        <v>1000000</v>
      </c>
    </row>
    <row r="14" spans="1:7" ht="10.199999999999999" customHeight="1" x14ac:dyDescent="0.25">
      <c r="D14" s="17"/>
    </row>
    <row r="15" spans="1:7" ht="10.199999999999999" customHeight="1" x14ac:dyDescent="0.25">
      <c r="B15" s="58" t="s">
        <v>116</v>
      </c>
      <c r="C15" s="13" t="s">
        <v>12</v>
      </c>
      <c r="D15" s="17" t="s">
        <v>11</v>
      </c>
      <c r="E15" s="22">
        <v>0.15</v>
      </c>
    </row>
    <row r="16" spans="1:7" ht="10.199999999999999" customHeight="1" x14ac:dyDescent="0.25">
      <c r="D16" s="17"/>
    </row>
    <row r="17" spans="2:15" ht="10.199999999999999" customHeight="1" x14ac:dyDescent="0.25">
      <c r="D17" s="17"/>
    </row>
    <row r="18" spans="2:15" ht="10.199999999999999" customHeight="1" x14ac:dyDescent="0.25">
      <c r="B18" s="59" t="s">
        <v>93</v>
      </c>
      <c r="C18" s="59"/>
      <c r="D18" s="17"/>
    </row>
    <row r="19" spans="2:15" ht="10.199999999999999" customHeight="1" x14ac:dyDescent="0.25">
      <c r="O19" s="13" t="s">
        <v>13</v>
      </c>
    </row>
    <row r="20" spans="2:15" ht="10.199999999999999" customHeight="1" x14ac:dyDescent="0.25">
      <c r="C20" s="13" t="s">
        <v>5</v>
      </c>
      <c r="D20" s="17" t="s">
        <v>9</v>
      </c>
      <c r="E20" s="29">
        <f>E13</f>
        <v>1000000</v>
      </c>
    </row>
    <row r="21" spans="2:15" ht="10.199999999999999" customHeight="1" x14ac:dyDescent="0.25">
      <c r="C21" s="13" t="s">
        <v>12</v>
      </c>
      <c r="D21" s="17" t="s">
        <v>11</v>
      </c>
      <c r="E21" s="52">
        <f>E15</f>
        <v>0.15</v>
      </c>
    </row>
    <row r="22" spans="2:15" ht="10.199999999999999" customHeight="1" x14ac:dyDescent="0.25">
      <c r="C22" s="13" t="s">
        <v>137</v>
      </c>
      <c r="D22" s="17" t="s">
        <v>10</v>
      </c>
      <c r="E22" s="37">
        <v>3</v>
      </c>
      <c r="G22" s="32" t="s">
        <v>22</v>
      </c>
    </row>
    <row r="23" spans="2:15" ht="10.199999999999999" customHeight="1" x14ac:dyDescent="0.25">
      <c r="C23" s="27" t="s">
        <v>98</v>
      </c>
      <c r="D23" s="17" t="s">
        <v>9</v>
      </c>
      <c r="E23" s="31">
        <f>E20*(1-E21)^E22</f>
        <v>614124.99999999988</v>
      </c>
      <c r="G23" s="32" t="s">
        <v>17</v>
      </c>
    </row>
    <row r="25" spans="2:15" ht="10.199999999999999" customHeight="1" x14ac:dyDescent="0.25">
      <c r="C25" s="13" t="s">
        <v>98</v>
      </c>
      <c r="D25" s="17" t="s">
        <v>9</v>
      </c>
      <c r="E25" s="29">
        <f>E23</f>
        <v>614124.99999999988</v>
      </c>
      <c r="G25" s="32" t="s">
        <v>14</v>
      </c>
    </row>
    <row r="26" spans="2:15" ht="10.199999999999999" customHeight="1" x14ac:dyDescent="0.25">
      <c r="C26" s="13" t="s">
        <v>12</v>
      </c>
      <c r="D26" s="17" t="s">
        <v>11</v>
      </c>
      <c r="E26" s="52">
        <f>E15</f>
        <v>0.15</v>
      </c>
      <c r="F26" s="15"/>
      <c r="G26" s="15"/>
    </row>
    <row r="27" spans="2:15" ht="10.199999999999999" customHeight="1" x14ac:dyDescent="0.25">
      <c r="C27" s="13" t="s">
        <v>136</v>
      </c>
      <c r="D27" s="17" t="s">
        <v>105</v>
      </c>
      <c r="E27" s="33">
        <v>6</v>
      </c>
      <c r="F27" s="15"/>
      <c r="G27" s="43" t="s">
        <v>158</v>
      </c>
    </row>
    <row r="28" spans="2:15" ht="10.199999999999999" customHeight="1" x14ac:dyDescent="0.25">
      <c r="C28" s="27" t="s">
        <v>99</v>
      </c>
      <c r="D28" s="17" t="s">
        <v>9</v>
      </c>
      <c r="E28" s="31">
        <f>E25*E26*(E27/12)</f>
        <v>46059.374999999993</v>
      </c>
      <c r="G28" s="32" t="s">
        <v>20</v>
      </c>
    </row>
    <row r="30" spans="2:15" ht="10.199999999999999" customHeight="1" x14ac:dyDescent="0.25">
      <c r="C30" s="13" t="s">
        <v>98</v>
      </c>
      <c r="D30" s="17" t="s">
        <v>9</v>
      </c>
      <c r="E30" s="29">
        <f>E23</f>
        <v>614124.99999999988</v>
      </c>
      <c r="G30" s="32" t="s">
        <v>14</v>
      </c>
    </row>
    <row r="31" spans="2:15" s="15" customFormat="1" ht="10.199999999999999" customHeight="1" x14ac:dyDescent="0.25">
      <c r="C31" s="13" t="s">
        <v>100</v>
      </c>
      <c r="D31" s="17" t="s">
        <v>9</v>
      </c>
      <c r="E31" s="29">
        <f>-E28</f>
        <v>-46059.374999999993</v>
      </c>
    </row>
    <row r="32" spans="2:15" ht="10.199999999999999" customHeight="1" x14ac:dyDescent="0.25">
      <c r="B32" s="58" t="s">
        <v>116</v>
      </c>
      <c r="C32" s="34" t="s">
        <v>101</v>
      </c>
      <c r="D32" s="17" t="s">
        <v>9</v>
      </c>
      <c r="E32" s="35">
        <f>SUM(E30:E31)</f>
        <v>568065.62499999988</v>
      </c>
    </row>
    <row r="33" spans="2:7" s="15" customFormat="1" ht="10.199999999999999" customHeight="1" x14ac:dyDescent="0.25">
      <c r="D33" s="41"/>
      <c r="E33" s="50"/>
    </row>
    <row r="34" spans="2:7" ht="10.199999999999999" customHeight="1" x14ac:dyDescent="0.25">
      <c r="C34" s="13" t="s">
        <v>5</v>
      </c>
      <c r="D34" s="17" t="s">
        <v>9</v>
      </c>
      <c r="E34" s="29">
        <f>E13</f>
        <v>1000000</v>
      </c>
    </row>
    <row r="35" spans="2:7" ht="10.199999999999999" customHeight="1" x14ac:dyDescent="0.25">
      <c r="C35" s="13" t="s">
        <v>101</v>
      </c>
      <c r="D35" s="17" t="s">
        <v>9</v>
      </c>
      <c r="E35" s="29">
        <f>-E32</f>
        <v>-568065.62499999988</v>
      </c>
    </row>
    <row r="36" spans="2:7" ht="10.199999999999999" customHeight="1" thickBot="1" x14ac:dyDescent="0.3">
      <c r="B36" s="58" t="s">
        <v>116</v>
      </c>
      <c r="C36" s="34" t="s">
        <v>102</v>
      </c>
      <c r="D36" s="17" t="s">
        <v>9</v>
      </c>
      <c r="E36" s="36">
        <f>SUM(E34:E35)</f>
        <v>431934.37500000012</v>
      </c>
      <c r="G36" s="32"/>
    </row>
    <row r="37" spans="2:7" ht="10.199999999999999" customHeight="1" thickTop="1" x14ac:dyDescent="0.25"/>
    <row r="40" spans="2:7" ht="10.199999999999999" customHeight="1" x14ac:dyDescent="0.25">
      <c r="B40" s="60" t="s">
        <v>91</v>
      </c>
      <c r="C40" s="60"/>
      <c r="D40" s="60"/>
      <c r="E40" s="60"/>
      <c r="F40" s="60"/>
      <c r="G40" s="60"/>
    </row>
    <row r="42" spans="2:7" ht="10.199999999999999" customHeight="1" x14ac:dyDescent="0.25">
      <c r="B42" s="59" t="s">
        <v>123</v>
      </c>
      <c r="C42" s="59"/>
      <c r="D42" s="17"/>
    </row>
    <row r="44" spans="2:7" ht="10.199999999999999" customHeight="1" x14ac:dyDescent="0.25">
      <c r="B44" s="58" t="s">
        <v>116</v>
      </c>
      <c r="C44" s="47" t="s">
        <v>5</v>
      </c>
      <c r="D44" s="17" t="s">
        <v>9</v>
      </c>
      <c r="E44" s="48">
        <f>E13</f>
        <v>1000000</v>
      </c>
      <c r="F44" s="47"/>
      <c r="G44" s="32" t="s">
        <v>94</v>
      </c>
    </row>
    <row r="45" spans="2:7" ht="10.199999999999999" customHeight="1" x14ac:dyDescent="0.25">
      <c r="B45" s="58" t="s">
        <v>116</v>
      </c>
      <c r="C45" s="13" t="s">
        <v>12</v>
      </c>
      <c r="D45" s="17" t="s">
        <v>11</v>
      </c>
      <c r="E45" s="52">
        <f>E15</f>
        <v>0.15</v>
      </c>
      <c r="F45" s="47"/>
    </row>
    <row r="48" spans="2:7" ht="10.199999999999999" customHeight="1" x14ac:dyDescent="0.25">
      <c r="B48" s="59" t="s">
        <v>124</v>
      </c>
      <c r="C48" s="59"/>
      <c r="D48" s="59"/>
    </row>
    <row r="50" spans="2:7" ht="10.199999999999999" customHeight="1" x14ac:dyDescent="0.25">
      <c r="C50" s="13" t="s">
        <v>5</v>
      </c>
      <c r="D50" s="17" t="s">
        <v>9</v>
      </c>
      <c r="E50" s="29">
        <f>E44</f>
        <v>1000000</v>
      </c>
    </row>
    <row r="51" spans="2:7" ht="10.199999999999999" customHeight="1" x14ac:dyDescent="0.25">
      <c r="C51" s="13" t="s">
        <v>12</v>
      </c>
      <c r="D51" s="17" t="s">
        <v>11</v>
      </c>
      <c r="E51" s="52">
        <f>E45</f>
        <v>0.15</v>
      </c>
    </row>
    <row r="52" spans="2:7" ht="10.199999999999999" customHeight="1" x14ac:dyDescent="0.25">
      <c r="C52" s="13" t="s">
        <v>138</v>
      </c>
      <c r="D52" s="17" t="s">
        <v>10</v>
      </c>
      <c r="E52" s="37">
        <v>5</v>
      </c>
      <c r="G52" s="32" t="s">
        <v>54</v>
      </c>
    </row>
    <row r="53" spans="2:7" ht="10.199999999999999" customHeight="1" x14ac:dyDescent="0.25">
      <c r="B53" s="58" t="s">
        <v>116</v>
      </c>
      <c r="C53" s="27" t="s">
        <v>128</v>
      </c>
      <c r="D53" s="17" t="s">
        <v>9</v>
      </c>
      <c r="E53" s="31">
        <f>E50*(1-E51)^E52</f>
        <v>443705.31249999988</v>
      </c>
      <c r="G53" s="32" t="s">
        <v>17</v>
      </c>
    </row>
    <row r="56" spans="2:7" ht="10.199999999999999" customHeight="1" x14ac:dyDescent="0.25">
      <c r="B56" s="59" t="s">
        <v>129</v>
      </c>
      <c r="C56" s="59"/>
      <c r="D56" s="17"/>
    </row>
    <row r="58" spans="2:7" ht="10.199999999999999" customHeight="1" x14ac:dyDescent="0.25">
      <c r="B58" s="58" t="s">
        <v>116</v>
      </c>
      <c r="C58" s="47" t="s">
        <v>5</v>
      </c>
      <c r="D58" s="17" t="s">
        <v>9</v>
      </c>
      <c r="E58" s="48">
        <f>E44</f>
        <v>1000000</v>
      </c>
      <c r="F58" s="47"/>
      <c r="G58" s="13" t="s">
        <v>104</v>
      </c>
    </row>
    <row r="59" spans="2:7" ht="10.199999999999999" customHeight="1" x14ac:dyDescent="0.25">
      <c r="B59" s="58" t="s">
        <v>116</v>
      </c>
      <c r="C59" s="13" t="s">
        <v>106</v>
      </c>
      <c r="D59" s="17" t="s">
        <v>11</v>
      </c>
      <c r="E59" s="22">
        <v>0.52500000000000002</v>
      </c>
      <c r="F59" s="47"/>
    </row>
    <row r="62" spans="2:7" ht="10.199999999999999" customHeight="1" x14ac:dyDescent="0.25">
      <c r="B62" s="59" t="s">
        <v>96</v>
      </c>
      <c r="C62" s="59"/>
      <c r="D62" s="17"/>
    </row>
    <row r="64" spans="2:7" ht="10.199999999999999" customHeight="1" x14ac:dyDescent="0.25">
      <c r="C64" s="13" t="s">
        <v>130</v>
      </c>
      <c r="D64" s="17" t="s">
        <v>9</v>
      </c>
      <c r="E64" s="29">
        <f>E53</f>
        <v>443705.31249999988</v>
      </c>
    </row>
    <row r="65" spans="2:7" ht="10.199999999999999" customHeight="1" x14ac:dyDescent="0.25">
      <c r="C65" s="13" t="s">
        <v>106</v>
      </c>
      <c r="D65" s="17" t="s">
        <v>11</v>
      </c>
      <c r="E65" s="52">
        <f>E59</f>
        <v>0.52500000000000002</v>
      </c>
    </row>
    <row r="66" spans="2:7" ht="10.199999999999999" customHeight="1" x14ac:dyDescent="0.25">
      <c r="C66" s="13" t="s">
        <v>139</v>
      </c>
      <c r="D66" s="17" t="s">
        <v>10</v>
      </c>
      <c r="E66" s="37">
        <v>1</v>
      </c>
      <c r="G66" s="32" t="s">
        <v>55</v>
      </c>
    </row>
    <row r="67" spans="2:7" ht="10.199999999999999" customHeight="1" x14ac:dyDescent="0.25">
      <c r="C67" s="27" t="s">
        <v>98</v>
      </c>
      <c r="D67" s="17" t="s">
        <v>9</v>
      </c>
      <c r="E67" s="31">
        <f>E64*(1-E65)^E66</f>
        <v>210760.02343749994</v>
      </c>
      <c r="G67" s="32" t="s">
        <v>155</v>
      </c>
    </row>
    <row r="68" spans="2:7" ht="10.199999999999999" customHeight="1" x14ac:dyDescent="0.25">
      <c r="D68" s="17"/>
    </row>
    <row r="69" spans="2:7" ht="10.199999999999999" customHeight="1" x14ac:dyDescent="0.25">
      <c r="C69" s="13" t="s">
        <v>98</v>
      </c>
      <c r="D69" s="17" t="s">
        <v>9</v>
      </c>
      <c r="E69" s="29">
        <f>E67</f>
        <v>210760.02343749994</v>
      </c>
      <c r="G69" s="32" t="s">
        <v>14</v>
      </c>
    </row>
    <row r="70" spans="2:7" ht="10.199999999999999" customHeight="1" x14ac:dyDescent="0.25">
      <c r="C70" s="13" t="s">
        <v>106</v>
      </c>
      <c r="D70" s="17" t="s">
        <v>11</v>
      </c>
      <c r="E70" s="52">
        <f>E59</f>
        <v>0.52500000000000002</v>
      </c>
      <c r="F70" s="15"/>
      <c r="G70" s="15"/>
    </row>
    <row r="71" spans="2:7" ht="10.199999999999999" customHeight="1" x14ac:dyDescent="0.25">
      <c r="C71" s="13" t="s">
        <v>136</v>
      </c>
      <c r="D71" s="17" t="s">
        <v>105</v>
      </c>
      <c r="E71" s="33">
        <v>9</v>
      </c>
      <c r="F71" s="15"/>
      <c r="G71" s="43" t="s">
        <v>159</v>
      </c>
    </row>
    <row r="72" spans="2:7" ht="10.199999999999999" customHeight="1" x14ac:dyDescent="0.25">
      <c r="C72" s="27" t="s">
        <v>99</v>
      </c>
      <c r="D72" s="17" t="s">
        <v>9</v>
      </c>
      <c r="E72" s="31">
        <f>E69*E70*(E71/12)</f>
        <v>82986.759228515613</v>
      </c>
      <c r="G72" s="32" t="s">
        <v>72</v>
      </c>
    </row>
    <row r="73" spans="2:7" ht="10.199999999999999" customHeight="1" x14ac:dyDescent="0.25">
      <c r="C73" s="15"/>
      <c r="D73" s="41"/>
      <c r="E73" s="50"/>
      <c r="F73" s="15"/>
      <c r="G73" s="15"/>
    </row>
    <row r="74" spans="2:7" ht="10.199999999999999" customHeight="1" x14ac:dyDescent="0.25">
      <c r="C74" s="13" t="s">
        <v>98</v>
      </c>
      <c r="D74" s="17" t="s">
        <v>9</v>
      </c>
      <c r="E74" s="29">
        <f>E67</f>
        <v>210760.02343749994</v>
      </c>
      <c r="G74" s="32" t="s">
        <v>14</v>
      </c>
    </row>
    <row r="75" spans="2:7" ht="10.199999999999999" customHeight="1" x14ac:dyDescent="0.25">
      <c r="C75" s="13" t="s">
        <v>100</v>
      </c>
      <c r="D75" s="17" t="s">
        <v>9</v>
      </c>
      <c r="E75" s="29">
        <f>-E72</f>
        <v>-82986.759228515613</v>
      </c>
      <c r="F75" s="15"/>
      <c r="G75" s="15"/>
    </row>
    <row r="76" spans="2:7" ht="10.199999999999999" customHeight="1" x14ac:dyDescent="0.25">
      <c r="B76" s="58" t="s">
        <v>116</v>
      </c>
      <c r="C76" s="34" t="s">
        <v>101</v>
      </c>
      <c r="D76" s="17" t="s">
        <v>9</v>
      </c>
      <c r="E76" s="35">
        <f>SUM(E74:E75)</f>
        <v>127773.26420898433</v>
      </c>
    </row>
    <row r="77" spans="2:7" ht="10.199999999999999" customHeight="1" x14ac:dyDescent="0.25">
      <c r="D77" s="17"/>
    </row>
    <row r="78" spans="2:7" ht="10.199999999999999" customHeight="1" x14ac:dyDescent="0.25">
      <c r="C78" s="13" t="s">
        <v>5</v>
      </c>
      <c r="D78" s="17" t="s">
        <v>9</v>
      </c>
      <c r="E78" s="29">
        <f>E44</f>
        <v>1000000</v>
      </c>
    </row>
    <row r="79" spans="2:7" ht="10.199999999999999" customHeight="1" x14ac:dyDescent="0.25">
      <c r="C79" s="13" t="s">
        <v>101</v>
      </c>
      <c r="D79" s="17" t="s">
        <v>9</v>
      </c>
      <c r="E79" s="29">
        <f>-E76</f>
        <v>-127773.26420898433</v>
      </c>
    </row>
    <row r="80" spans="2:7" ht="10.199999999999999" customHeight="1" thickBot="1" x14ac:dyDescent="0.3">
      <c r="B80" s="58" t="s">
        <v>116</v>
      </c>
      <c r="C80" s="34" t="s">
        <v>102</v>
      </c>
      <c r="D80" s="17" t="s">
        <v>9</v>
      </c>
      <c r="E80" s="36">
        <f>SUM(E78:E79)</f>
        <v>872226.73579101567</v>
      </c>
    </row>
    <row r="81" spans="3:7" ht="10.199999999999999" customHeight="1" thickTop="1" x14ac:dyDescent="0.25">
      <c r="D81" s="17"/>
    </row>
    <row r="82" spans="3:7" ht="10.199999999999999" customHeight="1" x14ac:dyDescent="0.25">
      <c r="D82" s="17"/>
    </row>
    <row r="83" spans="3:7" s="15" customFormat="1" ht="10.199999999999999" customHeight="1" x14ac:dyDescent="0.25">
      <c r="C83" s="40"/>
      <c r="D83" s="41"/>
      <c r="E83" s="42"/>
      <c r="G83" s="43"/>
    </row>
  </sheetData>
  <mergeCells count="8">
    <mergeCell ref="B56:C56"/>
    <mergeCell ref="B62:C62"/>
    <mergeCell ref="B6:G6"/>
    <mergeCell ref="B40:G40"/>
    <mergeCell ref="B18:C18"/>
    <mergeCell ref="B48:D48"/>
    <mergeCell ref="B8:C8"/>
    <mergeCell ref="B42:C4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99"/>
  <sheetViews>
    <sheetView workbookViewId="0"/>
  </sheetViews>
  <sheetFormatPr defaultColWidth="9.109375" defaultRowHeight="10.199999999999999" x14ac:dyDescent="0.25"/>
  <cols>
    <col min="1" max="1" width="5.77734375" style="15" customWidth="1"/>
    <col min="2" max="2" width="3.77734375" style="16" customWidth="1"/>
    <col min="3" max="3" width="45.77734375" style="13" customWidth="1"/>
    <col min="4" max="4" width="8.77734375" style="14" customWidth="1"/>
    <col min="5" max="5" width="10.77734375" style="25" customWidth="1"/>
    <col min="6" max="6" width="2.77734375" style="16" customWidth="1"/>
    <col min="7" max="7" width="55.77734375" style="13" customWidth="1"/>
    <col min="8" max="16384" width="9.109375" style="16"/>
  </cols>
  <sheetData>
    <row r="2" spans="1:7" s="2" customFormat="1" ht="21" x14ac:dyDescent="0.25">
      <c r="A2" s="3"/>
      <c r="B2" s="4" t="s">
        <v>120</v>
      </c>
      <c r="C2" s="3"/>
    </row>
    <row r="4" spans="1:7" ht="10.199999999999999" customHeight="1" x14ac:dyDescent="0.25">
      <c r="D4" s="10" t="s">
        <v>8</v>
      </c>
    </row>
    <row r="6" spans="1:7" s="13" customFormat="1" ht="10.199999999999999" customHeight="1" x14ac:dyDescent="0.25">
      <c r="A6" s="15"/>
      <c r="B6" s="60" t="s">
        <v>90</v>
      </c>
      <c r="C6" s="60"/>
      <c r="D6" s="60"/>
      <c r="E6" s="60"/>
      <c r="F6" s="60"/>
      <c r="G6" s="60"/>
    </row>
    <row r="7" spans="1:7" s="13" customFormat="1" ht="10.199999999999999" customHeight="1" x14ac:dyDescent="0.25">
      <c r="A7" s="15"/>
      <c r="D7" s="17"/>
      <c r="E7" s="25"/>
    </row>
    <row r="8" spans="1:7" s="13" customFormat="1" ht="10.199999999999999" customHeight="1" x14ac:dyDescent="0.25">
      <c r="A8" s="15"/>
      <c r="B8" s="59" t="s">
        <v>107</v>
      </c>
      <c r="C8" s="59"/>
      <c r="D8" s="17"/>
      <c r="E8" s="25"/>
    </row>
    <row r="9" spans="1:7" s="13" customFormat="1" ht="10.199999999999999" customHeight="1" x14ac:dyDescent="0.25">
      <c r="A9" s="15"/>
      <c r="D9" s="17"/>
      <c r="E9" s="25"/>
    </row>
    <row r="10" spans="1:7" s="13" customFormat="1" ht="10.199999999999999" customHeight="1" x14ac:dyDescent="0.25">
      <c r="A10" s="15"/>
      <c r="C10" s="13" t="s">
        <v>2</v>
      </c>
      <c r="D10" s="17" t="s">
        <v>9</v>
      </c>
      <c r="E10" s="18">
        <v>900000</v>
      </c>
    </row>
    <row r="11" spans="1:7" s="13" customFormat="1" ht="10.199999999999999" customHeight="1" x14ac:dyDescent="0.25">
      <c r="A11" s="15"/>
      <c r="C11" s="13" t="s">
        <v>0</v>
      </c>
      <c r="D11" s="17" t="s">
        <v>9</v>
      </c>
      <c r="E11" s="18">
        <v>60000</v>
      </c>
    </row>
    <row r="12" spans="1:7" s="13" customFormat="1" ht="10.199999999999999" customHeight="1" x14ac:dyDescent="0.25">
      <c r="A12" s="15"/>
      <c r="C12" s="13" t="s">
        <v>1</v>
      </c>
      <c r="D12" s="17" t="s">
        <v>9</v>
      </c>
      <c r="E12" s="18">
        <v>40000</v>
      </c>
    </row>
    <row r="13" spans="1:7" ht="10.199999999999999" customHeight="1" x14ac:dyDescent="0.25">
      <c r="B13" s="58" t="s">
        <v>116</v>
      </c>
      <c r="C13" s="27" t="s">
        <v>5</v>
      </c>
      <c r="D13" s="17" t="s">
        <v>9</v>
      </c>
      <c r="E13" s="31">
        <f>SUM(E10:E12)</f>
        <v>1000000</v>
      </c>
    </row>
    <row r="14" spans="1:7" s="13" customFormat="1" ht="10.199999999999999" customHeight="1" x14ac:dyDescent="0.25">
      <c r="A14" s="15"/>
      <c r="D14" s="17"/>
      <c r="E14" s="25"/>
    </row>
    <row r="15" spans="1:7" s="13" customFormat="1" ht="10.199999999999999" customHeight="1" x14ac:dyDescent="0.25">
      <c r="A15" s="15"/>
      <c r="B15" s="58" t="s">
        <v>116</v>
      </c>
      <c r="C15" s="13" t="s">
        <v>4</v>
      </c>
      <c r="D15" s="17" t="s">
        <v>9</v>
      </c>
      <c r="E15" s="30">
        <v>200000</v>
      </c>
    </row>
    <row r="16" spans="1:7" s="13" customFormat="1" ht="10.199999999999999" customHeight="1" x14ac:dyDescent="0.25">
      <c r="A16" s="15"/>
      <c r="D16" s="17"/>
      <c r="E16" s="25"/>
    </row>
    <row r="17" spans="1:7" s="13" customFormat="1" ht="10.199999999999999" customHeight="1" x14ac:dyDescent="0.25">
      <c r="A17" s="15"/>
      <c r="C17" s="13" t="s">
        <v>5</v>
      </c>
      <c r="D17" s="17" t="s">
        <v>9</v>
      </c>
      <c r="E17" s="29">
        <f>E13</f>
        <v>1000000</v>
      </c>
    </row>
    <row r="18" spans="1:7" s="13" customFormat="1" ht="10.199999999999999" customHeight="1" x14ac:dyDescent="0.25">
      <c r="A18" s="15"/>
      <c r="C18" s="13" t="s">
        <v>4</v>
      </c>
      <c r="D18" s="17" t="s">
        <v>9</v>
      </c>
      <c r="E18" s="55">
        <f>-E15</f>
        <v>-200000</v>
      </c>
    </row>
    <row r="19" spans="1:7" s="13" customFormat="1" ht="10.199999999999999" customHeight="1" x14ac:dyDescent="0.25">
      <c r="A19" s="15"/>
      <c r="B19" s="58" t="s">
        <v>116</v>
      </c>
      <c r="C19" s="27" t="s">
        <v>6</v>
      </c>
      <c r="D19" s="17" t="s">
        <v>9</v>
      </c>
      <c r="E19" s="31">
        <f>SUM(E17:E18)</f>
        <v>800000</v>
      </c>
    </row>
    <row r="20" spans="1:7" s="13" customFormat="1" ht="10.199999999999999" customHeight="1" x14ac:dyDescent="0.25">
      <c r="A20" s="15"/>
      <c r="D20" s="17"/>
      <c r="E20" s="25"/>
    </row>
    <row r="21" spans="1:7" s="13" customFormat="1" ht="10.199999999999999" customHeight="1" x14ac:dyDescent="0.25">
      <c r="A21" s="15"/>
      <c r="B21" s="58" t="s">
        <v>116</v>
      </c>
      <c r="C21" s="13" t="s">
        <v>3</v>
      </c>
      <c r="D21" s="17" t="s">
        <v>10</v>
      </c>
      <c r="E21" s="30">
        <v>10</v>
      </c>
    </row>
    <row r="22" spans="1:7" s="15" customFormat="1" ht="10.199999999999999" customHeight="1" x14ac:dyDescent="0.25">
      <c r="D22" s="41"/>
      <c r="E22" s="50"/>
    </row>
    <row r="23" spans="1:7" s="13" customFormat="1" ht="10.199999999999999" customHeight="1" x14ac:dyDescent="0.25">
      <c r="A23" s="15"/>
      <c r="B23" s="58" t="s">
        <v>116</v>
      </c>
      <c r="C23" s="13" t="s">
        <v>52</v>
      </c>
      <c r="D23" s="17"/>
      <c r="E23" s="56">
        <f>1+2+3+4+5+6+7+8+9+10</f>
        <v>55</v>
      </c>
      <c r="G23" s="13" t="s">
        <v>108</v>
      </c>
    </row>
    <row r="24" spans="1:7" s="13" customFormat="1" ht="10.199999999999999" customHeight="1" x14ac:dyDescent="0.25">
      <c r="A24" s="15"/>
      <c r="D24" s="17"/>
      <c r="E24" s="25"/>
    </row>
    <row r="25" spans="1:7" s="13" customFormat="1" ht="10.199999999999999" customHeight="1" x14ac:dyDescent="0.25">
      <c r="A25" s="15"/>
      <c r="D25" s="17"/>
      <c r="E25" s="25"/>
    </row>
    <row r="26" spans="1:7" s="13" customFormat="1" ht="10.199999999999999" customHeight="1" x14ac:dyDescent="0.25">
      <c r="A26" s="15"/>
      <c r="B26" s="59" t="s">
        <v>93</v>
      </c>
      <c r="C26" s="59"/>
      <c r="D26" s="17"/>
      <c r="E26" s="25"/>
    </row>
    <row r="27" spans="1:7" s="13" customFormat="1" ht="10.199999999999999" customHeight="1" x14ac:dyDescent="0.25">
      <c r="A27" s="15"/>
      <c r="D27" s="17"/>
      <c r="E27" s="25"/>
    </row>
    <row r="28" spans="1:7" s="13" customFormat="1" ht="10.199999999999999" customHeight="1" x14ac:dyDescent="0.25">
      <c r="A28" s="15"/>
      <c r="C28" s="13" t="s">
        <v>78</v>
      </c>
      <c r="D28" s="17"/>
      <c r="E28" s="25"/>
    </row>
    <row r="29" spans="1:7" s="13" customFormat="1" ht="10.199999999999999" customHeight="1" x14ac:dyDescent="0.25">
      <c r="A29" s="15"/>
      <c r="C29" s="13" t="s">
        <v>80</v>
      </c>
      <c r="D29" s="17" t="s">
        <v>9</v>
      </c>
      <c r="E29" s="38">
        <f>E19*10/E23</f>
        <v>145454.54545454544</v>
      </c>
      <c r="G29" s="32" t="s">
        <v>46</v>
      </c>
    </row>
    <row r="30" spans="1:7" s="13" customFormat="1" ht="10.199999999999999" customHeight="1" x14ac:dyDescent="0.25">
      <c r="A30" s="15"/>
      <c r="C30" s="13" t="s">
        <v>81</v>
      </c>
      <c r="D30" s="17" t="s">
        <v>9</v>
      </c>
      <c r="E30" s="38">
        <f>E19*9/E23</f>
        <v>130909.09090909091</v>
      </c>
      <c r="G30" s="32" t="s">
        <v>47</v>
      </c>
    </row>
    <row r="31" spans="1:7" s="13" customFormat="1" ht="10.199999999999999" customHeight="1" x14ac:dyDescent="0.25">
      <c r="A31" s="15"/>
      <c r="C31" s="13" t="s">
        <v>82</v>
      </c>
      <c r="D31" s="17" t="s">
        <v>9</v>
      </c>
      <c r="E31" s="38">
        <f>E19*8/E23</f>
        <v>116363.63636363637</v>
      </c>
      <c r="G31" s="32" t="s">
        <v>48</v>
      </c>
    </row>
    <row r="32" spans="1:7" s="13" customFormat="1" ht="10.199999999999999" customHeight="1" x14ac:dyDescent="0.25">
      <c r="A32" s="15"/>
      <c r="C32" s="13" t="s">
        <v>140</v>
      </c>
      <c r="D32" s="17" t="s">
        <v>9</v>
      </c>
      <c r="E32" s="38">
        <f>E19*7/E23*(6/12)</f>
        <v>50909.090909090912</v>
      </c>
      <c r="G32" s="32" t="s">
        <v>56</v>
      </c>
    </row>
    <row r="33" spans="1:7" s="13" customFormat="1" ht="10.199999999999999" customHeight="1" x14ac:dyDescent="0.25">
      <c r="A33" s="15"/>
      <c r="B33" s="58" t="s">
        <v>116</v>
      </c>
      <c r="C33" s="34" t="s">
        <v>102</v>
      </c>
      <c r="D33" s="17" t="s">
        <v>9</v>
      </c>
      <c r="E33" s="35">
        <f>SUM(E29:E32)</f>
        <v>443636.36363636365</v>
      </c>
    </row>
    <row r="34" spans="1:7" s="13" customFormat="1" ht="10.199999999999999" customHeight="1" x14ac:dyDescent="0.25">
      <c r="A34" s="15"/>
      <c r="D34" s="14"/>
      <c r="E34" s="25"/>
    </row>
    <row r="35" spans="1:7" s="13" customFormat="1" ht="10.199999999999999" customHeight="1" x14ac:dyDescent="0.25">
      <c r="A35" s="15"/>
      <c r="C35" s="13" t="s">
        <v>5</v>
      </c>
      <c r="D35" s="17" t="s">
        <v>9</v>
      </c>
      <c r="E35" s="29">
        <f>E13</f>
        <v>1000000</v>
      </c>
    </row>
    <row r="36" spans="1:7" s="13" customFormat="1" ht="10.199999999999999" customHeight="1" x14ac:dyDescent="0.25">
      <c r="A36" s="15"/>
      <c r="C36" s="13" t="s">
        <v>15</v>
      </c>
      <c r="D36" s="17" t="s">
        <v>9</v>
      </c>
      <c r="E36" s="29">
        <f>-E33</f>
        <v>-443636.36363636365</v>
      </c>
    </row>
    <row r="37" spans="1:7" s="13" customFormat="1" ht="10.199999999999999" customHeight="1" thickBot="1" x14ac:dyDescent="0.3">
      <c r="A37" s="15"/>
      <c r="B37" s="58" t="s">
        <v>116</v>
      </c>
      <c r="C37" s="34" t="s">
        <v>101</v>
      </c>
      <c r="D37" s="17" t="s">
        <v>9</v>
      </c>
      <c r="E37" s="36">
        <f>SUM(E35:E36)</f>
        <v>556363.63636363635</v>
      </c>
    </row>
    <row r="38" spans="1:7" s="13" customFormat="1" ht="10.199999999999999" customHeight="1" thickTop="1" x14ac:dyDescent="0.25">
      <c r="A38" s="15"/>
      <c r="D38" s="14"/>
      <c r="E38" s="25"/>
    </row>
    <row r="39" spans="1:7" s="13" customFormat="1" ht="10.199999999999999" customHeight="1" x14ac:dyDescent="0.25">
      <c r="A39" s="15"/>
      <c r="D39" s="14"/>
      <c r="E39" s="25"/>
    </row>
    <row r="40" spans="1:7" s="13" customFormat="1" ht="10.199999999999999" customHeight="1" x14ac:dyDescent="0.25">
      <c r="A40" s="15"/>
      <c r="D40" s="14"/>
      <c r="E40" s="25"/>
    </row>
    <row r="41" spans="1:7" s="13" customFormat="1" ht="10.199999999999999" customHeight="1" x14ac:dyDescent="0.25">
      <c r="A41" s="15"/>
      <c r="B41" s="60" t="s">
        <v>91</v>
      </c>
      <c r="C41" s="60"/>
      <c r="D41" s="60"/>
      <c r="E41" s="60"/>
      <c r="F41" s="60"/>
      <c r="G41" s="60"/>
    </row>
    <row r="42" spans="1:7" s="13" customFormat="1" ht="10.199999999999999" customHeight="1" x14ac:dyDescent="0.25">
      <c r="A42" s="15"/>
      <c r="D42" s="14"/>
      <c r="E42" s="25"/>
    </row>
    <row r="43" spans="1:7" s="13" customFormat="1" ht="10.199999999999999" customHeight="1" x14ac:dyDescent="0.25">
      <c r="A43" s="15"/>
      <c r="B43" s="59" t="s">
        <v>123</v>
      </c>
      <c r="C43" s="59"/>
      <c r="D43" s="17"/>
      <c r="E43" s="25"/>
    </row>
    <row r="44" spans="1:7" s="13" customFormat="1" ht="10.199999999999999" customHeight="1" x14ac:dyDescent="0.25">
      <c r="A44" s="15"/>
      <c r="D44" s="14"/>
      <c r="E44" s="25"/>
    </row>
    <row r="45" spans="1:7" s="13" customFormat="1" ht="10.199999999999999" customHeight="1" x14ac:dyDescent="0.25">
      <c r="A45" s="15"/>
      <c r="B45" s="58" t="s">
        <v>116</v>
      </c>
      <c r="C45" s="47" t="s">
        <v>5</v>
      </c>
      <c r="D45" s="17" t="s">
        <v>9</v>
      </c>
      <c r="E45" s="29">
        <f>E13</f>
        <v>1000000</v>
      </c>
      <c r="F45" s="47"/>
      <c r="G45" s="32" t="s">
        <v>94</v>
      </c>
    </row>
    <row r="46" spans="1:7" s="13" customFormat="1" ht="10.199999999999999" customHeight="1" x14ac:dyDescent="0.25">
      <c r="A46" s="15"/>
      <c r="B46" s="58" t="s">
        <v>116</v>
      </c>
      <c r="C46" s="47" t="s">
        <v>4</v>
      </c>
      <c r="D46" s="17" t="s">
        <v>9</v>
      </c>
      <c r="E46" s="54">
        <f>E15</f>
        <v>200000</v>
      </c>
      <c r="F46" s="47"/>
    </row>
    <row r="47" spans="1:7" s="13" customFormat="1" ht="10.199999999999999" customHeight="1" x14ac:dyDescent="0.25">
      <c r="A47" s="15"/>
      <c r="B47" s="58" t="s">
        <v>116</v>
      </c>
      <c r="C47" s="47" t="s">
        <v>6</v>
      </c>
      <c r="D47" s="17" t="s">
        <v>9</v>
      </c>
      <c r="E47" s="48">
        <f>E19</f>
        <v>800000</v>
      </c>
      <c r="F47" s="47"/>
      <c r="G47" s="32" t="s">
        <v>94</v>
      </c>
    </row>
    <row r="48" spans="1:7" s="13" customFormat="1" ht="10.199999999999999" customHeight="1" x14ac:dyDescent="0.25">
      <c r="A48" s="15"/>
      <c r="B48" s="58" t="s">
        <v>116</v>
      </c>
      <c r="C48" s="47" t="s">
        <v>3</v>
      </c>
      <c r="D48" s="17" t="s">
        <v>10</v>
      </c>
      <c r="E48" s="54">
        <f>E21</f>
        <v>10</v>
      </c>
      <c r="F48" s="47"/>
    </row>
    <row r="49" spans="1:7" s="13" customFormat="1" ht="10.199999999999999" customHeight="1" x14ac:dyDescent="0.25">
      <c r="A49" s="15"/>
      <c r="B49" s="58" t="s">
        <v>116</v>
      </c>
      <c r="C49" s="47" t="s">
        <v>51</v>
      </c>
      <c r="D49" s="14"/>
      <c r="E49" s="48">
        <f>E23</f>
        <v>55</v>
      </c>
      <c r="G49" s="32" t="s">
        <v>94</v>
      </c>
    </row>
    <row r="50" spans="1:7" s="13" customFormat="1" ht="10.199999999999999" customHeight="1" x14ac:dyDescent="0.25">
      <c r="A50" s="15"/>
      <c r="D50" s="14"/>
      <c r="E50" s="25"/>
    </row>
    <row r="51" spans="1:7" s="13" customFormat="1" ht="10.199999999999999" customHeight="1" x14ac:dyDescent="0.25">
      <c r="A51" s="15"/>
      <c r="D51" s="14"/>
      <c r="E51" s="25"/>
    </row>
    <row r="52" spans="1:7" s="13" customFormat="1" ht="10.199999999999999" customHeight="1" x14ac:dyDescent="0.25">
      <c r="A52" s="15"/>
      <c r="B52" s="59" t="s">
        <v>124</v>
      </c>
      <c r="C52" s="59"/>
      <c r="D52" s="59"/>
      <c r="E52" s="25"/>
    </row>
    <row r="53" spans="1:7" s="13" customFormat="1" ht="10.199999999999999" customHeight="1" x14ac:dyDescent="0.25">
      <c r="A53" s="15"/>
      <c r="D53" s="14"/>
      <c r="E53" s="25"/>
    </row>
    <row r="54" spans="1:7" s="13" customFormat="1" ht="10.199999999999999" customHeight="1" x14ac:dyDescent="0.25">
      <c r="A54" s="15"/>
      <c r="C54" s="13" t="s">
        <v>78</v>
      </c>
      <c r="D54" s="14"/>
      <c r="E54" s="25"/>
    </row>
    <row r="55" spans="1:7" s="13" customFormat="1" ht="10.199999999999999" customHeight="1" x14ac:dyDescent="0.25">
      <c r="A55" s="15"/>
      <c r="C55" s="13" t="s">
        <v>80</v>
      </c>
      <c r="D55" s="17" t="s">
        <v>9</v>
      </c>
      <c r="E55" s="38">
        <f>E47*10/E49</f>
        <v>145454.54545454544</v>
      </c>
      <c r="G55" s="32" t="s">
        <v>46</v>
      </c>
    </row>
    <row r="56" spans="1:7" s="13" customFormat="1" ht="10.199999999999999" customHeight="1" x14ac:dyDescent="0.25">
      <c r="A56" s="15"/>
      <c r="C56" s="13" t="s">
        <v>81</v>
      </c>
      <c r="D56" s="17" t="s">
        <v>9</v>
      </c>
      <c r="E56" s="38">
        <f>E47*9/E49</f>
        <v>130909.09090909091</v>
      </c>
      <c r="G56" s="32" t="s">
        <v>47</v>
      </c>
    </row>
    <row r="57" spans="1:7" s="13" customFormat="1" ht="10.199999999999999" customHeight="1" x14ac:dyDescent="0.25">
      <c r="A57" s="15"/>
      <c r="C57" s="13" t="s">
        <v>82</v>
      </c>
      <c r="D57" s="17" t="s">
        <v>9</v>
      </c>
      <c r="E57" s="38">
        <f>E47*8/E49</f>
        <v>116363.63636363637</v>
      </c>
      <c r="G57" s="32" t="s">
        <v>48</v>
      </c>
    </row>
    <row r="58" spans="1:7" x14ac:dyDescent="0.25">
      <c r="C58" s="13" t="s">
        <v>83</v>
      </c>
      <c r="D58" s="17" t="s">
        <v>9</v>
      </c>
      <c r="E58" s="38">
        <f>E47*7/E49</f>
        <v>101818.18181818182</v>
      </c>
      <c r="F58" s="13"/>
      <c r="G58" s="32" t="s">
        <v>49</v>
      </c>
    </row>
    <row r="59" spans="1:7" x14ac:dyDescent="0.25">
      <c r="C59" s="13" t="s">
        <v>84</v>
      </c>
      <c r="D59" s="17" t="s">
        <v>9</v>
      </c>
      <c r="E59" s="38">
        <f>E47*6/E49</f>
        <v>87272.727272727279</v>
      </c>
      <c r="F59" s="13"/>
      <c r="G59" s="32" t="s">
        <v>63</v>
      </c>
    </row>
    <row r="60" spans="1:7" x14ac:dyDescent="0.25">
      <c r="B60" s="58" t="s">
        <v>116</v>
      </c>
      <c r="C60" s="27" t="s">
        <v>126</v>
      </c>
      <c r="D60" s="17" t="s">
        <v>9</v>
      </c>
      <c r="E60" s="31">
        <f>SUM(E55:E59)</f>
        <v>581818.18181818177</v>
      </c>
      <c r="F60" s="13"/>
    </row>
    <row r="62" spans="1:7" x14ac:dyDescent="0.25">
      <c r="C62" s="13" t="s">
        <v>5</v>
      </c>
      <c r="D62" s="17" t="s">
        <v>9</v>
      </c>
      <c r="E62" s="29">
        <f>E45</f>
        <v>1000000</v>
      </c>
    </row>
    <row r="63" spans="1:7" x14ac:dyDescent="0.25">
      <c r="C63" s="13" t="s">
        <v>127</v>
      </c>
      <c r="D63" s="17" t="s">
        <v>9</v>
      </c>
      <c r="E63" s="29">
        <f>-E60</f>
        <v>-581818.18181818177</v>
      </c>
    </row>
    <row r="64" spans="1:7" ht="10.8" thickBot="1" x14ac:dyDescent="0.3">
      <c r="B64" s="58" t="s">
        <v>116</v>
      </c>
      <c r="C64" s="27" t="s">
        <v>128</v>
      </c>
      <c r="D64" s="17" t="s">
        <v>9</v>
      </c>
      <c r="E64" s="28">
        <f>SUM(E62:E63)</f>
        <v>418181.81818181823</v>
      </c>
    </row>
    <row r="65" spans="1:7" ht="10.8" thickTop="1" x14ac:dyDescent="0.25"/>
    <row r="67" spans="1:7" s="13" customFormat="1" ht="10.199999999999999" customHeight="1" x14ac:dyDescent="0.25">
      <c r="A67" s="15"/>
      <c r="B67" s="59" t="s">
        <v>129</v>
      </c>
      <c r="C67" s="59"/>
      <c r="D67" s="17"/>
      <c r="E67" s="25"/>
    </row>
    <row r="69" spans="1:7" s="13" customFormat="1" ht="10.199999999999999" customHeight="1" x14ac:dyDescent="0.25">
      <c r="A69" s="15"/>
      <c r="B69" s="58" t="s">
        <v>116</v>
      </c>
      <c r="C69" s="47" t="s">
        <v>5</v>
      </c>
      <c r="D69" s="17" t="s">
        <v>9</v>
      </c>
      <c r="E69" s="29">
        <f>E45</f>
        <v>1000000</v>
      </c>
      <c r="F69" s="47"/>
      <c r="G69" s="13" t="s">
        <v>104</v>
      </c>
    </row>
    <row r="70" spans="1:7" s="15" customFormat="1" ht="10.199999999999999" customHeight="1" x14ac:dyDescent="0.25">
      <c r="C70" s="40"/>
      <c r="D70" s="41"/>
      <c r="E70" s="50"/>
      <c r="F70" s="40"/>
    </row>
    <row r="71" spans="1:7" s="13" customFormat="1" ht="10.199999999999999" customHeight="1" x14ac:dyDescent="0.25">
      <c r="A71" s="15"/>
      <c r="B71" s="58" t="s">
        <v>116</v>
      </c>
      <c r="C71" s="13" t="s">
        <v>109</v>
      </c>
      <c r="D71" s="17" t="s">
        <v>9</v>
      </c>
      <c r="E71" s="30">
        <v>100000</v>
      </c>
      <c r="F71" s="47"/>
    </row>
    <row r="72" spans="1:7" s="15" customFormat="1" ht="10.199999999999999" customHeight="1" x14ac:dyDescent="0.25">
      <c r="C72" s="40"/>
      <c r="D72" s="51"/>
      <c r="E72" s="42"/>
      <c r="G72" s="43"/>
    </row>
    <row r="73" spans="1:7" x14ac:dyDescent="0.25">
      <c r="B73" s="13"/>
      <c r="C73" s="13" t="s">
        <v>130</v>
      </c>
      <c r="D73" s="17" t="s">
        <v>9</v>
      </c>
      <c r="E73" s="29">
        <f>E64</f>
        <v>418181.81818181823</v>
      </c>
    </row>
    <row r="74" spans="1:7" x14ac:dyDescent="0.25">
      <c r="B74" s="13"/>
      <c r="C74" s="13" t="s">
        <v>60</v>
      </c>
      <c r="D74" s="17" t="s">
        <v>9</v>
      </c>
      <c r="E74" s="55">
        <f>-E71</f>
        <v>-100000</v>
      </c>
    </row>
    <row r="75" spans="1:7" x14ac:dyDescent="0.25">
      <c r="B75" s="58" t="s">
        <v>116</v>
      </c>
      <c r="C75" s="27" t="s">
        <v>61</v>
      </c>
      <c r="D75" s="17" t="s">
        <v>9</v>
      </c>
      <c r="E75" s="31">
        <f>SUM(E73:E74)</f>
        <v>318181.81818181823</v>
      </c>
    </row>
    <row r="77" spans="1:7" x14ac:dyDescent="0.25">
      <c r="C77" s="13" t="s">
        <v>95</v>
      </c>
      <c r="D77" s="17" t="s">
        <v>10</v>
      </c>
      <c r="E77" s="30">
        <v>7</v>
      </c>
    </row>
    <row r="78" spans="1:7" x14ac:dyDescent="0.25">
      <c r="C78" s="13" t="s">
        <v>138</v>
      </c>
      <c r="D78" s="17" t="s">
        <v>10</v>
      </c>
      <c r="E78" s="30">
        <v>-5</v>
      </c>
      <c r="G78" s="32" t="s">
        <v>54</v>
      </c>
    </row>
    <row r="79" spans="1:7" x14ac:dyDescent="0.25">
      <c r="B79" s="58" t="s">
        <v>116</v>
      </c>
      <c r="C79" s="27" t="s">
        <v>62</v>
      </c>
      <c r="D79" s="17" t="s">
        <v>10</v>
      </c>
      <c r="E79" s="31">
        <f>SUM(E77:E78)</f>
        <v>2</v>
      </c>
    </row>
    <row r="80" spans="1:7" s="13" customFormat="1" x14ac:dyDescent="0.25">
      <c r="A80" s="15"/>
      <c r="D80" s="14"/>
      <c r="E80" s="25"/>
    </row>
    <row r="81" spans="1:7" s="13" customFormat="1" x14ac:dyDescent="0.25">
      <c r="A81" s="15"/>
      <c r="B81" s="58" t="s">
        <v>116</v>
      </c>
      <c r="C81" s="13" t="s">
        <v>114</v>
      </c>
      <c r="D81" s="14"/>
      <c r="E81" s="38">
        <f>1+2</f>
        <v>3</v>
      </c>
      <c r="G81" s="13" t="s">
        <v>110</v>
      </c>
    </row>
    <row r="84" spans="1:7" s="13" customFormat="1" ht="10.199999999999999" customHeight="1" x14ac:dyDescent="0.25">
      <c r="A84" s="15"/>
      <c r="B84" s="59" t="s">
        <v>96</v>
      </c>
      <c r="C84" s="59"/>
      <c r="D84" s="17"/>
      <c r="E84" s="25"/>
    </row>
    <row r="85" spans="1:7" s="15" customFormat="1" x14ac:dyDescent="0.25">
      <c r="D85" s="51"/>
      <c r="E85" s="50"/>
    </row>
    <row r="86" spans="1:7" s="15" customFormat="1" x14ac:dyDescent="0.25">
      <c r="C86" s="13" t="s">
        <v>141</v>
      </c>
      <c r="D86" s="51"/>
      <c r="E86" s="50"/>
    </row>
    <row r="87" spans="1:7" s="13" customFormat="1" ht="10.199999999999999" customHeight="1" x14ac:dyDescent="0.25">
      <c r="A87" s="15"/>
      <c r="C87" s="13" t="s">
        <v>79</v>
      </c>
      <c r="D87" s="17" t="s">
        <v>9</v>
      </c>
      <c r="E87" s="38">
        <f>E75*2/E81</f>
        <v>212121.21212121216</v>
      </c>
      <c r="G87" s="32" t="s">
        <v>57</v>
      </c>
    </row>
    <row r="88" spans="1:7" s="13" customFormat="1" ht="10.199999999999999" customHeight="1" x14ac:dyDescent="0.25">
      <c r="A88" s="15"/>
      <c r="C88" s="13" t="s">
        <v>142</v>
      </c>
      <c r="D88" s="17" t="s">
        <v>9</v>
      </c>
      <c r="E88" s="38">
        <f>E75*1/E81*(9/12)</f>
        <v>79545.454545454559</v>
      </c>
      <c r="G88" s="32" t="s">
        <v>64</v>
      </c>
    </row>
    <row r="89" spans="1:7" s="13" customFormat="1" ht="10.199999999999999" customHeight="1" x14ac:dyDescent="0.25">
      <c r="A89" s="15"/>
      <c r="C89" s="27" t="s">
        <v>143</v>
      </c>
      <c r="D89" s="17" t="s">
        <v>9</v>
      </c>
      <c r="E89" s="31">
        <f>SUM(E87:E88)</f>
        <v>291666.66666666674</v>
      </c>
      <c r="G89" s="32"/>
    </row>
    <row r="90" spans="1:7" s="15" customFormat="1" x14ac:dyDescent="0.25">
      <c r="D90" s="51"/>
      <c r="E90" s="50"/>
    </row>
    <row r="91" spans="1:7" s="15" customFormat="1" ht="10.199999999999999" customHeight="1" x14ac:dyDescent="0.25">
      <c r="C91" s="13" t="s">
        <v>97</v>
      </c>
      <c r="D91" s="41"/>
      <c r="E91" s="42"/>
      <c r="G91" s="43"/>
    </row>
    <row r="92" spans="1:7" s="13" customFormat="1" ht="10.199999999999999" customHeight="1" x14ac:dyDescent="0.25">
      <c r="A92" s="15"/>
      <c r="C92" s="13" t="s">
        <v>134</v>
      </c>
      <c r="D92" s="17" t="s">
        <v>9</v>
      </c>
      <c r="E92" s="29">
        <f>E60</f>
        <v>581818.18181818177</v>
      </c>
    </row>
    <row r="93" spans="1:7" s="13" customFormat="1" ht="10.199999999999999" customHeight="1" x14ac:dyDescent="0.25">
      <c r="A93" s="15"/>
      <c r="C93" s="13" t="s">
        <v>135</v>
      </c>
      <c r="D93" s="17" t="s">
        <v>9</v>
      </c>
      <c r="E93" s="29">
        <f>E89</f>
        <v>291666.66666666674</v>
      </c>
    </row>
    <row r="94" spans="1:7" s="13" customFormat="1" ht="10.199999999999999" customHeight="1" x14ac:dyDescent="0.25">
      <c r="A94" s="15"/>
      <c r="B94" s="58" t="s">
        <v>116</v>
      </c>
      <c r="C94" s="34" t="s">
        <v>102</v>
      </c>
      <c r="D94" s="17" t="s">
        <v>9</v>
      </c>
      <c r="E94" s="35">
        <f>SUM(E92:E93)</f>
        <v>873484.84848484851</v>
      </c>
    </row>
    <row r="95" spans="1:7" s="15" customFormat="1" x14ac:dyDescent="0.25">
      <c r="D95" s="51"/>
      <c r="E95" s="50"/>
    </row>
    <row r="96" spans="1:7" x14ac:dyDescent="0.25">
      <c r="B96" s="13"/>
      <c r="C96" s="13" t="s">
        <v>5</v>
      </c>
      <c r="D96" s="17" t="s">
        <v>9</v>
      </c>
      <c r="E96" s="29">
        <f>E45</f>
        <v>1000000</v>
      </c>
      <c r="F96" s="13"/>
    </row>
    <row r="97" spans="2:6" x14ac:dyDescent="0.25">
      <c r="B97" s="13"/>
      <c r="C97" s="13" t="s">
        <v>102</v>
      </c>
      <c r="D97" s="17" t="s">
        <v>9</v>
      </c>
      <c r="E97" s="29">
        <f>-E94</f>
        <v>-873484.84848484851</v>
      </c>
      <c r="F97" s="13"/>
    </row>
    <row r="98" spans="2:6" ht="10.8" thickBot="1" x14ac:dyDescent="0.3">
      <c r="B98" s="58" t="s">
        <v>116</v>
      </c>
      <c r="C98" s="34" t="s">
        <v>101</v>
      </c>
      <c r="D98" s="17" t="s">
        <v>9</v>
      </c>
      <c r="E98" s="36">
        <f>SUM(E96:E97)</f>
        <v>126515.15151515149</v>
      </c>
      <c r="F98" s="13"/>
    </row>
    <row r="99" spans="2:6" ht="10.8" thickTop="1" x14ac:dyDescent="0.25"/>
  </sheetData>
  <mergeCells count="8">
    <mergeCell ref="B84:C84"/>
    <mergeCell ref="B26:C26"/>
    <mergeCell ref="B6:G6"/>
    <mergeCell ref="B41:G41"/>
    <mergeCell ref="B52:D52"/>
    <mergeCell ref="B8:C8"/>
    <mergeCell ref="B43:C43"/>
    <mergeCell ref="B67:C67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118"/>
  <sheetViews>
    <sheetView workbookViewId="0"/>
  </sheetViews>
  <sheetFormatPr defaultColWidth="9.109375" defaultRowHeight="10.199999999999999" customHeight="1" x14ac:dyDescent="0.25"/>
  <cols>
    <col min="1" max="1" width="5.77734375" style="15" customWidth="1"/>
    <col min="2" max="2" width="3.77734375" style="13" customWidth="1"/>
    <col min="3" max="3" width="45.77734375" style="13" customWidth="1"/>
    <col min="4" max="4" width="8.77734375" style="14" customWidth="1"/>
    <col min="5" max="5" width="10.77734375" style="25" customWidth="1"/>
    <col min="6" max="6" width="2.77734375" style="13" customWidth="1"/>
    <col min="7" max="7" width="65.77734375" style="13" customWidth="1"/>
    <col min="8" max="16384" width="9.109375" style="13"/>
  </cols>
  <sheetData>
    <row r="2" spans="1:7" s="2" customFormat="1" ht="21" x14ac:dyDescent="0.25">
      <c r="A2" s="3"/>
      <c r="B2" s="4" t="s">
        <v>29</v>
      </c>
      <c r="C2" s="3"/>
    </row>
    <row r="4" spans="1:7" ht="10.199999999999999" customHeight="1" x14ac:dyDescent="0.25">
      <c r="D4" s="10" t="s">
        <v>8</v>
      </c>
    </row>
    <row r="6" spans="1:7" ht="10.199999999999999" customHeight="1" x14ac:dyDescent="0.25">
      <c r="B6" s="60" t="s">
        <v>90</v>
      </c>
      <c r="C6" s="60"/>
      <c r="D6" s="60"/>
      <c r="E6" s="60"/>
      <c r="F6" s="60"/>
      <c r="G6" s="60"/>
    </row>
    <row r="7" spans="1:7" ht="10.199999999999999" customHeight="1" x14ac:dyDescent="0.25">
      <c r="D7" s="17"/>
    </row>
    <row r="8" spans="1:7" ht="10.199999999999999" customHeight="1" x14ac:dyDescent="0.25">
      <c r="B8" s="59" t="s">
        <v>107</v>
      </c>
      <c r="C8" s="59"/>
      <c r="D8" s="17"/>
    </row>
    <row r="9" spans="1:7" s="15" customFormat="1" ht="10.199999999999999" customHeight="1" x14ac:dyDescent="0.25">
      <c r="D9" s="41"/>
      <c r="E9" s="50"/>
    </row>
    <row r="10" spans="1:7" s="15" customFormat="1" ht="10.199999999999999" customHeight="1" x14ac:dyDescent="0.25">
      <c r="C10" s="13" t="s">
        <v>2</v>
      </c>
      <c r="D10" s="17" t="s">
        <v>9</v>
      </c>
      <c r="E10" s="18">
        <v>900000</v>
      </c>
    </row>
    <row r="11" spans="1:7" s="15" customFormat="1" ht="10.199999999999999" customHeight="1" x14ac:dyDescent="0.25">
      <c r="C11" s="13" t="s">
        <v>0</v>
      </c>
      <c r="D11" s="17" t="s">
        <v>9</v>
      </c>
      <c r="E11" s="18">
        <v>60000</v>
      </c>
    </row>
    <row r="12" spans="1:7" s="15" customFormat="1" ht="10.199999999999999" customHeight="1" x14ac:dyDescent="0.25">
      <c r="C12" s="13" t="s">
        <v>1</v>
      </c>
      <c r="D12" s="17" t="s">
        <v>9</v>
      </c>
      <c r="E12" s="18">
        <v>40000</v>
      </c>
    </row>
    <row r="13" spans="1:7" s="15" customFormat="1" ht="10.199999999999999" customHeight="1" x14ac:dyDescent="0.25">
      <c r="B13" s="58" t="s">
        <v>116</v>
      </c>
      <c r="C13" s="27" t="s">
        <v>5</v>
      </c>
      <c r="D13" s="17" t="s">
        <v>9</v>
      </c>
      <c r="E13" s="31">
        <f>SUM(E10:E12)</f>
        <v>1000000</v>
      </c>
    </row>
    <row r="14" spans="1:7" s="15" customFormat="1" ht="10.199999999999999" customHeight="1" x14ac:dyDescent="0.25">
      <c r="D14" s="41"/>
      <c r="E14" s="50"/>
    </row>
    <row r="15" spans="1:7" s="15" customFormat="1" ht="10.199999999999999" customHeight="1" x14ac:dyDescent="0.25">
      <c r="B15" s="58" t="s">
        <v>116</v>
      </c>
      <c r="C15" s="13" t="s">
        <v>4</v>
      </c>
      <c r="D15" s="17" t="s">
        <v>9</v>
      </c>
      <c r="E15" s="30">
        <v>200000</v>
      </c>
    </row>
    <row r="16" spans="1:7" s="15" customFormat="1" ht="10.199999999999999" customHeight="1" x14ac:dyDescent="0.25">
      <c r="D16" s="41"/>
      <c r="E16" s="50"/>
    </row>
    <row r="17" spans="2:7" ht="10.199999999999999" customHeight="1" x14ac:dyDescent="0.25">
      <c r="C17" s="13" t="s">
        <v>5</v>
      </c>
      <c r="D17" s="17" t="s">
        <v>9</v>
      </c>
      <c r="E17" s="29">
        <f>E13</f>
        <v>1000000</v>
      </c>
    </row>
    <row r="18" spans="2:7" ht="10.199999999999999" customHeight="1" x14ac:dyDescent="0.25">
      <c r="C18" s="13" t="s">
        <v>4</v>
      </c>
      <c r="D18" s="17" t="s">
        <v>9</v>
      </c>
      <c r="E18" s="55">
        <f>-E15</f>
        <v>-200000</v>
      </c>
    </row>
    <row r="19" spans="2:7" ht="10.199999999999999" customHeight="1" x14ac:dyDescent="0.25">
      <c r="B19" s="58" t="s">
        <v>116</v>
      </c>
      <c r="C19" s="27" t="s">
        <v>6</v>
      </c>
      <c r="D19" s="17" t="s">
        <v>9</v>
      </c>
      <c r="E19" s="31">
        <f>SUM(E17:E18)</f>
        <v>800000</v>
      </c>
    </row>
    <row r="20" spans="2:7" ht="10.199999999999999" customHeight="1" x14ac:dyDescent="0.25">
      <c r="D20" s="17"/>
    </row>
    <row r="21" spans="2:7" ht="10.199999999999999" customHeight="1" x14ac:dyDescent="0.25">
      <c r="B21" s="58" t="s">
        <v>116</v>
      </c>
      <c r="C21" s="26" t="s">
        <v>65</v>
      </c>
      <c r="D21" s="17" t="s">
        <v>23</v>
      </c>
      <c r="E21" s="24">
        <v>1000000</v>
      </c>
    </row>
    <row r="22" spans="2:7" ht="10.199999999999999" customHeight="1" x14ac:dyDescent="0.25">
      <c r="C22" s="26"/>
      <c r="D22" s="17"/>
      <c r="E22" s="11"/>
    </row>
    <row r="23" spans="2:7" ht="10.199999999999999" customHeight="1" x14ac:dyDescent="0.25">
      <c r="C23" s="26"/>
      <c r="D23" s="17"/>
      <c r="E23" s="11"/>
    </row>
    <row r="24" spans="2:7" ht="10.199999999999999" customHeight="1" x14ac:dyDescent="0.25">
      <c r="B24" s="59" t="s">
        <v>93</v>
      </c>
      <c r="C24" s="59"/>
      <c r="D24" s="17"/>
    </row>
    <row r="25" spans="2:7" ht="10.199999999999999" customHeight="1" x14ac:dyDescent="0.25">
      <c r="C25" s="26"/>
      <c r="D25" s="17"/>
      <c r="E25" s="11"/>
    </row>
    <row r="26" spans="2:7" ht="10.199999999999999" customHeight="1" x14ac:dyDescent="0.25">
      <c r="C26" s="26" t="s">
        <v>111</v>
      </c>
      <c r="D26" s="17"/>
      <c r="E26" s="11"/>
    </row>
    <row r="27" spans="2:7" ht="10.199999999999999" customHeight="1" x14ac:dyDescent="0.25">
      <c r="C27" s="13" t="s">
        <v>73</v>
      </c>
      <c r="D27" s="17" t="s">
        <v>23</v>
      </c>
      <c r="E27" s="24">
        <v>50000</v>
      </c>
    </row>
    <row r="28" spans="2:7" ht="10.199999999999999" customHeight="1" x14ac:dyDescent="0.25">
      <c r="C28" s="13" t="s">
        <v>74</v>
      </c>
      <c r="D28" s="17" t="s">
        <v>23</v>
      </c>
      <c r="E28" s="24">
        <v>100000</v>
      </c>
    </row>
    <row r="29" spans="2:7" ht="10.199999999999999" customHeight="1" x14ac:dyDescent="0.25">
      <c r="C29" s="13" t="s">
        <v>75</v>
      </c>
      <c r="D29" s="17" t="s">
        <v>23</v>
      </c>
      <c r="E29" s="24">
        <v>50000</v>
      </c>
    </row>
    <row r="30" spans="2:7" ht="10.199999999999999" customHeight="1" x14ac:dyDescent="0.25">
      <c r="C30" s="13" t="s">
        <v>140</v>
      </c>
      <c r="D30" s="17" t="s">
        <v>23</v>
      </c>
      <c r="E30" s="24">
        <v>60000</v>
      </c>
    </row>
    <row r="31" spans="2:7" ht="10.199999999999999" customHeight="1" x14ac:dyDescent="0.25">
      <c r="C31" s="27" t="s">
        <v>112</v>
      </c>
      <c r="D31" s="17" t="s">
        <v>23</v>
      </c>
      <c r="E31" s="31">
        <f>SUM(E27:E30)</f>
        <v>260000</v>
      </c>
      <c r="G31" s="32" t="s">
        <v>153</v>
      </c>
    </row>
    <row r="32" spans="2:7" ht="10.199999999999999" customHeight="1" x14ac:dyDescent="0.25">
      <c r="D32" s="17"/>
    </row>
    <row r="33" spans="1:7" ht="10.199999999999999" customHeight="1" x14ac:dyDescent="0.25">
      <c r="C33" s="26" t="s">
        <v>65</v>
      </c>
      <c r="D33" s="17" t="s">
        <v>23</v>
      </c>
      <c r="E33" s="49">
        <f>E21</f>
        <v>1000000</v>
      </c>
    </row>
    <row r="34" spans="1:7" ht="10.199999999999999" customHeight="1" x14ac:dyDescent="0.25">
      <c r="C34" s="26" t="s">
        <v>112</v>
      </c>
      <c r="D34" s="17" t="s">
        <v>23</v>
      </c>
      <c r="E34" s="29">
        <f>E31</f>
        <v>260000</v>
      </c>
    </row>
    <row r="35" spans="1:7" ht="10.199999999999999" customHeight="1" thickBot="1" x14ac:dyDescent="0.3">
      <c r="C35" s="27" t="s">
        <v>113</v>
      </c>
      <c r="D35" s="17" t="s">
        <v>11</v>
      </c>
      <c r="E35" s="44">
        <f>E34/E33</f>
        <v>0.26</v>
      </c>
      <c r="G35" s="32" t="s">
        <v>89</v>
      </c>
    </row>
    <row r="36" spans="1:7" ht="10.199999999999999" customHeight="1" thickTop="1" x14ac:dyDescent="0.25">
      <c r="D36" s="17"/>
    </row>
    <row r="37" spans="1:7" ht="10.199999999999999" customHeight="1" x14ac:dyDescent="0.25">
      <c r="C37" s="13" t="s">
        <v>6</v>
      </c>
      <c r="D37" s="17" t="s">
        <v>9</v>
      </c>
      <c r="E37" s="29">
        <f>E19</f>
        <v>800000</v>
      </c>
    </row>
    <row r="38" spans="1:7" ht="10.199999999999999" customHeight="1" x14ac:dyDescent="0.25">
      <c r="C38" s="13" t="s">
        <v>113</v>
      </c>
      <c r="D38" s="17" t="s">
        <v>11</v>
      </c>
      <c r="E38" s="45">
        <f>E35</f>
        <v>0.26</v>
      </c>
    </row>
    <row r="39" spans="1:7" ht="10.199999999999999" customHeight="1" x14ac:dyDescent="0.25">
      <c r="B39" s="58" t="s">
        <v>116</v>
      </c>
      <c r="C39" s="34" t="s">
        <v>102</v>
      </c>
      <c r="D39" s="17" t="s">
        <v>9</v>
      </c>
      <c r="E39" s="35">
        <f>E37*E38</f>
        <v>208000</v>
      </c>
      <c r="G39" s="46" t="s">
        <v>66</v>
      </c>
    </row>
    <row r="40" spans="1:7" ht="10.199999999999999" customHeight="1" x14ac:dyDescent="0.25">
      <c r="D40" s="17"/>
    </row>
    <row r="41" spans="1:7" ht="10.199999999999999" customHeight="1" x14ac:dyDescent="0.25">
      <c r="C41" s="13" t="s">
        <v>5</v>
      </c>
      <c r="D41" s="17" t="s">
        <v>9</v>
      </c>
      <c r="E41" s="29">
        <f>E13</f>
        <v>1000000</v>
      </c>
    </row>
    <row r="42" spans="1:7" s="47" customFormat="1" ht="10.199999999999999" customHeight="1" x14ac:dyDescent="0.25">
      <c r="A42" s="40"/>
      <c r="C42" s="13" t="s">
        <v>102</v>
      </c>
      <c r="D42" s="17" t="s">
        <v>9</v>
      </c>
      <c r="E42" s="48">
        <f>-E39</f>
        <v>-208000</v>
      </c>
      <c r="G42" s="46"/>
    </row>
    <row r="43" spans="1:7" ht="10.199999999999999" customHeight="1" thickBot="1" x14ac:dyDescent="0.3">
      <c r="B43" s="58" t="s">
        <v>116</v>
      </c>
      <c r="C43" s="34" t="s">
        <v>101</v>
      </c>
      <c r="D43" s="17" t="s">
        <v>9</v>
      </c>
      <c r="E43" s="36">
        <f>E41+E42</f>
        <v>792000</v>
      </c>
    </row>
    <row r="44" spans="1:7" ht="10.199999999999999" customHeight="1" thickTop="1" x14ac:dyDescent="0.25"/>
    <row r="47" spans="1:7" ht="10.199999999999999" customHeight="1" x14ac:dyDescent="0.25">
      <c r="B47" s="60" t="s">
        <v>91</v>
      </c>
      <c r="C47" s="60"/>
      <c r="D47" s="60"/>
      <c r="E47" s="60"/>
      <c r="F47" s="60"/>
      <c r="G47" s="60"/>
    </row>
    <row r="49" spans="2:7" ht="10.199999999999999" customHeight="1" x14ac:dyDescent="0.25">
      <c r="B49" s="59" t="s">
        <v>123</v>
      </c>
      <c r="C49" s="59"/>
      <c r="D49" s="17"/>
    </row>
    <row r="50" spans="2:7" s="15" customFormat="1" ht="10.199999999999999" customHeight="1" x14ac:dyDescent="0.25">
      <c r="D50" s="51"/>
      <c r="E50" s="50"/>
    </row>
    <row r="51" spans="2:7" ht="10.199999999999999" customHeight="1" x14ac:dyDescent="0.25">
      <c r="B51" s="58" t="s">
        <v>116</v>
      </c>
      <c r="C51" s="47" t="s">
        <v>5</v>
      </c>
      <c r="D51" s="17" t="s">
        <v>9</v>
      </c>
      <c r="E51" s="29">
        <f>E13</f>
        <v>1000000</v>
      </c>
      <c r="F51" s="47"/>
      <c r="G51" s="32" t="s">
        <v>94</v>
      </c>
    </row>
    <row r="52" spans="2:7" ht="10.199999999999999" customHeight="1" x14ac:dyDescent="0.25">
      <c r="B52" s="58" t="s">
        <v>116</v>
      </c>
      <c r="C52" s="47" t="s">
        <v>4</v>
      </c>
      <c r="D52" s="17" t="s">
        <v>9</v>
      </c>
      <c r="E52" s="54">
        <f>E15</f>
        <v>200000</v>
      </c>
      <c r="F52" s="47"/>
    </row>
    <row r="53" spans="2:7" ht="10.199999999999999" customHeight="1" x14ac:dyDescent="0.25">
      <c r="B53" s="58" t="s">
        <v>116</v>
      </c>
      <c r="C53" s="47" t="s">
        <v>6</v>
      </c>
      <c r="D53" s="17" t="s">
        <v>9</v>
      </c>
      <c r="E53" s="48">
        <f>E19</f>
        <v>800000</v>
      </c>
      <c r="F53" s="47"/>
      <c r="G53" s="32" t="s">
        <v>94</v>
      </c>
    </row>
    <row r="54" spans="2:7" ht="10.199999999999999" customHeight="1" x14ac:dyDescent="0.25">
      <c r="B54" s="58" t="s">
        <v>116</v>
      </c>
      <c r="C54" s="26" t="s">
        <v>65</v>
      </c>
      <c r="D54" s="17" t="s">
        <v>23</v>
      </c>
      <c r="E54" s="49">
        <f>E21</f>
        <v>1000000</v>
      </c>
      <c r="F54" s="47"/>
    </row>
    <row r="55" spans="2:7" s="15" customFormat="1" ht="10.199999999999999" customHeight="1" x14ac:dyDescent="0.25">
      <c r="D55" s="51"/>
      <c r="E55" s="50"/>
    </row>
    <row r="56" spans="2:7" s="15" customFormat="1" ht="10.199999999999999" customHeight="1" x14ac:dyDescent="0.25">
      <c r="D56" s="51"/>
      <c r="E56" s="50"/>
    </row>
    <row r="57" spans="2:7" ht="10.199999999999999" customHeight="1" x14ac:dyDescent="0.25">
      <c r="B57" s="59" t="s">
        <v>124</v>
      </c>
      <c r="C57" s="59"/>
      <c r="D57" s="59"/>
    </row>
    <row r="58" spans="2:7" s="15" customFormat="1" ht="10.199999999999999" customHeight="1" x14ac:dyDescent="0.25">
      <c r="D58" s="51"/>
      <c r="E58" s="50"/>
    </row>
    <row r="59" spans="2:7" ht="10.199999999999999" customHeight="1" x14ac:dyDescent="0.25">
      <c r="C59" s="26" t="s">
        <v>144</v>
      </c>
      <c r="D59" s="17"/>
      <c r="E59" s="11"/>
    </row>
    <row r="60" spans="2:7" ht="10.199999999999999" customHeight="1" x14ac:dyDescent="0.25">
      <c r="C60" s="13" t="s">
        <v>73</v>
      </c>
      <c r="D60" s="17" t="s">
        <v>23</v>
      </c>
      <c r="E60" s="49">
        <f>E27</f>
        <v>50000</v>
      </c>
    </row>
    <row r="61" spans="2:7" ht="10.199999999999999" customHeight="1" x14ac:dyDescent="0.25">
      <c r="C61" s="13" t="s">
        <v>74</v>
      </c>
      <c r="D61" s="17" t="s">
        <v>23</v>
      </c>
      <c r="E61" s="49">
        <f t="shared" ref="E61:E62" si="0">E28</f>
        <v>100000</v>
      </c>
    </row>
    <row r="62" spans="2:7" ht="10.199999999999999" customHeight="1" x14ac:dyDescent="0.25">
      <c r="C62" s="13" t="s">
        <v>75</v>
      </c>
      <c r="D62" s="17" t="s">
        <v>23</v>
      </c>
      <c r="E62" s="49">
        <f t="shared" si="0"/>
        <v>50000</v>
      </c>
    </row>
    <row r="63" spans="2:7" ht="10.199999999999999" customHeight="1" x14ac:dyDescent="0.25">
      <c r="C63" s="13" t="s">
        <v>76</v>
      </c>
      <c r="D63" s="17" t="s">
        <v>23</v>
      </c>
      <c r="E63" s="24">
        <v>100000</v>
      </c>
    </row>
    <row r="64" spans="2:7" ht="10.199999999999999" customHeight="1" x14ac:dyDescent="0.25">
      <c r="C64" s="13" t="s">
        <v>77</v>
      </c>
      <c r="D64" s="17" t="s">
        <v>23</v>
      </c>
      <c r="E64" s="24">
        <v>40000</v>
      </c>
    </row>
    <row r="65" spans="1:7" ht="10.199999999999999" customHeight="1" x14ac:dyDescent="0.25">
      <c r="C65" s="27" t="s">
        <v>145</v>
      </c>
      <c r="D65" s="17" t="s">
        <v>23</v>
      </c>
      <c r="E65" s="31">
        <f>SUM(E60:E64)</f>
        <v>340000</v>
      </c>
      <c r="G65" s="32" t="s">
        <v>154</v>
      </c>
    </row>
    <row r="66" spans="1:7" ht="10.199999999999999" customHeight="1" x14ac:dyDescent="0.25">
      <c r="D66" s="17"/>
    </row>
    <row r="67" spans="1:7" ht="10.199999999999999" customHeight="1" x14ac:dyDescent="0.25">
      <c r="C67" s="26" t="s">
        <v>65</v>
      </c>
      <c r="D67" s="17" t="s">
        <v>23</v>
      </c>
      <c r="E67" s="49">
        <f>E54</f>
        <v>1000000</v>
      </c>
    </row>
    <row r="68" spans="1:7" ht="10.199999999999999" customHeight="1" x14ac:dyDescent="0.25">
      <c r="C68" s="26" t="s">
        <v>146</v>
      </c>
      <c r="D68" s="17"/>
      <c r="E68" s="29">
        <f>E65</f>
        <v>340000</v>
      </c>
    </row>
    <row r="69" spans="1:7" ht="10.199999999999999" customHeight="1" thickBot="1" x14ac:dyDescent="0.3">
      <c r="C69" s="27" t="s">
        <v>147</v>
      </c>
      <c r="D69" s="17" t="s">
        <v>11</v>
      </c>
      <c r="E69" s="44">
        <f>E68/E67</f>
        <v>0.34</v>
      </c>
      <c r="G69" s="32" t="s">
        <v>67</v>
      </c>
    </row>
    <row r="70" spans="1:7" ht="10.199999999999999" customHeight="1" thickTop="1" x14ac:dyDescent="0.25">
      <c r="D70" s="17"/>
    </row>
    <row r="71" spans="1:7" ht="10.199999999999999" customHeight="1" x14ac:dyDescent="0.25">
      <c r="C71" s="13" t="s">
        <v>6</v>
      </c>
      <c r="D71" s="17" t="s">
        <v>9</v>
      </c>
      <c r="E71" s="29">
        <f>E53</f>
        <v>800000</v>
      </c>
    </row>
    <row r="72" spans="1:7" ht="10.199999999999999" customHeight="1" x14ac:dyDescent="0.25">
      <c r="C72" s="13" t="s">
        <v>148</v>
      </c>
      <c r="D72" s="17" t="s">
        <v>11</v>
      </c>
      <c r="E72" s="45">
        <f>E69</f>
        <v>0.34</v>
      </c>
    </row>
    <row r="73" spans="1:7" ht="10.199999999999999" customHeight="1" x14ac:dyDescent="0.25">
      <c r="B73" s="58" t="s">
        <v>116</v>
      </c>
      <c r="C73" s="27" t="s">
        <v>126</v>
      </c>
      <c r="D73" s="17" t="s">
        <v>9</v>
      </c>
      <c r="E73" s="31">
        <f>E71*E72</f>
        <v>272000</v>
      </c>
      <c r="G73" s="46" t="s">
        <v>66</v>
      </c>
    </row>
    <row r="74" spans="1:7" ht="10.199999999999999" customHeight="1" x14ac:dyDescent="0.25">
      <c r="D74" s="17"/>
    </row>
    <row r="75" spans="1:7" ht="10.199999999999999" customHeight="1" x14ac:dyDescent="0.25">
      <c r="C75" s="13" t="s">
        <v>5</v>
      </c>
      <c r="D75" s="17" t="s">
        <v>9</v>
      </c>
      <c r="E75" s="29">
        <f>E51</f>
        <v>1000000</v>
      </c>
    </row>
    <row r="76" spans="1:7" s="47" customFormat="1" ht="10.199999999999999" customHeight="1" x14ac:dyDescent="0.25">
      <c r="A76" s="40"/>
      <c r="C76" s="13" t="s">
        <v>127</v>
      </c>
      <c r="D76" s="17" t="s">
        <v>9</v>
      </c>
      <c r="E76" s="48">
        <f>-E73</f>
        <v>-272000</v>
      </c>
      <c r="G76" s="46"/>
    </row>
    <row r="77" spans="1:7" ht="10.199999999999999" customHeight="1" thickBot="1" x14ac:dyDescent="0.3">
      <c r="B77" s="58" t="s">
        <v>116</v>
      </c>
      <c r="C77" s="27" t="s">
        <v>128</v>
      </c>
      <c r="D77" s="17" t="s">
        <v>9</v>
      </c>
      <c r="E77" s="28">
        <f>E75+E76</f>
        <v>728000</v>
      </c>
    </row>
    <row r="78" spans="1:7" ht="10.199999999999999" customHeight="1" thickTop="1" x14ac:dyDescent="0.25"/>
    <row r="80" spans="1:7" ht="10.199999999999999" customHeight="1" x14ac:dyDescent="0.25">
      <c r="B80" s="59" t="s">
        <v>129</v>
      </c>
      <c r="C80" s="59"/>
      <c r="D80" s="17"/>
    </row>
    <row r="82" spans="2:7" ht="10.199999999999999" customHeight="1" x14ac:dyDescent="0.25">
      <c r="B82" s="58" t="s">
        <v>116</v>
      </c>
      <c r="C82" s="47" t="s">
        <v>5</v>
      </c>
      <c r="D82" s="17" t="s">
        <v>9</v>
      </c>
      <c r="E82" s="29">
        <f>E51</f>
        <v>1000000</v>
      </c>
      <c r="G82" s="13" t="s">
        <v>104</v>
      </c>
    </row>
    <row r="83" spans="2:7" ht="10.199999999999999" customHeight="1" x14ac:dyDescent="0.25">
      <c r="D83" s="17"/>
    </row>
    <row r="84" spans="2:7" ht="10.199999999999999" customHeight="1" x14ac:dyDescent="0.25">
      <c r="B84" s="58" t="s">
        <v>116</v>
      </c>
      <c r="C84" s="13" t="s">
        <v>60</v>
      </c>
      <c r="D84" s="17" t="s">
        <v>9</v>
      </c>
      <c r="E84" s="30">
        <v>100000</v>
      </c>
    </row>
    <row r="86" spans="2:7" ht="10.199999999999999" customHeight="1" x14ac:dyDescent="0.25">
      <c r="C86" s="13" t="s">
        <v>130</v>
      </c>
      <c r="D86" s="17" t="s">
        <v>9</v>
      </c>
      <c r="E86" s="29">
        <f>E77</f>
        <v>728000</v>
      </c>
    </row>
    <row r="87" spans="2:7" ht="10.199999999999999" customHeight="1" x14ac:dyDescent="0.25">
      <c r="C87" s="13" t="s">
        <v>60</v>
      </c>
      <c r="D87" s="17" t="s">
        <v>9</v>
      </c>
      <c r="E87" s="55">
        <f>-E84</f>
        <v>-100000</v>
      </c>
    </row>
    <row r="88" spans="2:7" ht="10.199999999999999" customHeight="1" x14ac:dyDescent="0.25">
      <c r="B88" s="58" t="s">
        <v>116</v>
      </c>
      <c r="C88" s="27" t="s">
        <v>61</v>
      </c>
      <c r="D88" s="17" t="s">
        <v>9</v>
      </c>
      <c r="E88" s="31">
        <f>SUM(E86:E87)</f>
        <v>628000</v>
      </c>
      <c r="F88" s="15"/>
    </row>
    <row r="90" spans="2:7" ht="10.199999999999999" customHeight="1" x14ac:dyDescent="0.25">
      <c r="C90" s="26" t="s">
        <v>68</v>
      </c>
      <c r="D90" s="17" t="s">
        <v>23</v>
      </c>
      <c r="E90" s="24">
        <v>700000</v>
      </c>
    </row>
    <row r="91" spans="2:7" ht="10.199999999999999" customHeight="1" x14ac:dyDescent="0.25">
      <c r="C91" s="26" t="s">
        <v>146</v>
      </c>
      <c r="D91" s="17" t="s">
        <v>23</v>
      </c>
      <c r="E91" s="29">
        <f>-E65</f>
        <v>-340000</v>
      </c>
      <c r="G91" s="32" t="s">
        <v>154</v>
      </c>
    </row>
    <row r="92" spans="2:7" ht="10.199999999999999" customHeight="1" x14ac:dyDescent="0.25">
      <c r="B92" s="58" t="s">
        <v>116</v>
      </c>
      <c r="C92" s="27" t="s">
        <v>69</v>
      </c>
      <c r="D92" s="17" t="s">
        <v>23</v>
      </c>
      <c r="E92" s="31">
        <f>SUM(E90:E91)</f>
        <v>360000</v>
      </c>
      <c r="G92" s="32"/>
    </row>
    <row r="95" spans="2:7" ht="10.199999999999999" customHeight="1" x14ac:dyDescent="0.25">
      <c r="B95" s="59" t="s">
        <v>96</v>
      </c>
      <c r="C95" s="59"/>
      <c r="D95" s="17"/>
    </row>
    <row r="97" spans="3:7" ht="10.199999999999999" customHeight="1" x14ac:dyDescent="0.25">
      <c r="C97" s="26" t="s">
        <v>149</v>
      </c>
      <c r="D97" s="17"/>
      <c r="E97" s="11"/>
    </row>
    <row r="98" spans="3:7" ht="10.199999999999999" customHeight="1" x14ac:dyDescent="0.25">
      <c r="C98" s="13" t="s">
        <v>79</v>
      </c>
      <c r="D98" s="17" t="s">
        <v>23</v>
      </c>
      <c r="E98" s="24">
        <v>70000</v>
      </c>
    </row>
    <row r="99" spans="3:7" ht="10.199999999999999" customHeight="1" x14ac:dyDescent="0.25">
      <c r="C99" s="13" t="s">
        <v>142</v>
      </c>
      <c r="D99" s="17" t="s">
        <v>23</v>
      </c>
      <c r="E99" s="24">
        <v>128000</v>
      </c>
    </row>
    <row r="100" spans="3:7" ht="10.199999999999999" customHeight="1" x14ac:dyDescent="0.25">
      <c r="C100" s="27" t="s">
        <v>150</v>
      </c>
      <c r="D100" s="17" t="s">
        <v>23</v>
      </c>
      <c r="E100" s="31">
        <f>SUM(E98:E99)</f>
        <v>198000</v>
      </c>
      <c r="G100" s="32" t="s">
        <v>156</v>
      </c>
    </row>
    <row r="102" spans="3:7" ht="10.199999999999999" customHeight="1" x14ac:dyDescent="0.25">
      <c r="C102" s="26" t="s">
        <v>69</v>
      </c>
      <c r="D102" s="17" t="s">
        <v>23</v>
      </c>
      <c r="E102" s="49">
        <f>E92</f>
        <v>360000</v>
      </c>
    </row>
    <row r="103" spans="3:7" ht="10.199999999999999" customHeight="1" x14ac:dyDescent="0.25">
      <c r="C103" s="26" t="s">
        <v>151</v>
      </c>
      <c r="D103" s="17" t="s">
        <v>23</v>
      </c>
      <c r="E103" s="29">
        <f>E100</f>
        <v>198000</v>
      </c>
    </row>
    <row r="104" spans="3:7" ht="10.199999999999999" customHeight="1" x14ac:dyDescent="0.25">
      <c r="C104" s="27" t="s">
        <v>115</v>
      </c>
      <c r="D104" s="17" t="s">
        <v>11</v>
      </c>
      <c r="E104" s="57">
        <f>E103/E102</f>
        <v>0.55000000000000004</v>
      </c>
      <c r="G104" s="32" t="s">
        <v>157</v>
      </c>
    </row>
    <row r="106" spans="3:7" ht="10.199999999999999" customHeight="1" x14ac:dyDescent="0.25">
      <c r="C106" s="13" t="s">
        <v>70</v>
      </c>
      <c r="D106" s="17" t="s">
        <v>9</v>
      </c>
      <c r="E106" s="29">
        <f>E88</f>
        <v>628000</v>
      </c>
    </row>
    <row r="107" spans="3:7" ht="10.199999999999999" customHeight="1" x14ac:dyDescent="0.25">
      <c r="C107" s="13" t="s">
        <v>115</v>
      </c>
      <c r="D107" s="17" t="s">
        <v>11</v>
      </c>
      <c r="E107" s="45">
        <f>E104</f>
        <v>0.55000000000000004</v>
      </c>
    </row>
    <row r="108" spans="3:7" ht="10.199999999999999" customHeight="1" x14ac:dyDescent="0.25">
      <c r="C108" s="27" t="s">
        <v>152</v>
      </c>
      <c r="D108" s="17" t="s">
        <v>9</v>
      </c>
      <c r="E108" s="31">
        <f>E106*E107</f>
        <v>345400</v>
      </c>
      <c r="G108" s="46" t="s">
        <v>71</v>
      </c>
    </row>
    <row r="109" spans="3:7" s="15" customFormat="1" ht="10.199999999999999" customHeight="1" x14ac:dyDescent="0.25">
      <c r="D109" s="51"/>
      <c r="E109" s="50"/>
    </row>
    <row r="110" spans="3:7" s="15" customFormat="1" ht="10.199999999999999" customHeight="1" x14ac:dyDescent="0.25">
      <c r="C110" s="13" t="s">
        <v>97</v>
      </c>
      <c r="D110" s="41"/>
      <c r="E110" s="42"/>
      <c r="G110" s="43"/>
    </row>
    <row r="111" spans="3:7" ht="10.199999999999999" customHeight="1" x14ac:dyDescent="0.25">
      <c r="C111" s="13" t="s">
        <v>134</v>
      </c>
      <c r="D111" s="17" t="s">
        <v>9</v>
      </c>
      <c r="E111" s="29">
        <f>E73</f>
        <v>272000</v>
      </c>
    </row>
    <row r="112" spans="3:7" ht="10.199999999999999" customHeight="1" x14ac:dyDescent="0.25">
      <c r="C112" s="13" t="s">
        <v>135</v>
      </c>
      <c r="D112" s="17" t="s">
        <v>9</v>
      </c>
      <c r="E112" s="29">
        <f>E108</f>
        <v>345400</v>
      </c>
    </row>
    <row r="113" spans="1:7" ht="10.199999999999999" customHeight="1" x14ac:dyDescent="0.25">
      <c r="B113" s="58" t="s">
        <v>116</v>
      </c>
      <c r="C113" s="34" t="s">
        <v>102</v>
      </c>
      <c r="D113" s="17" t="s">
        <v>9</v>
      </c>
      <c r="E113" s="35">
        <f>SUM(E111:E112)</f>
        <v>617400</v>
      </c>
    </row>
    <row r="114" spans="1:7" s="15" customFormat="1" ht="10.199999999999999" customHeight="1" x14ac:dyDescent="0.25">
      <c r="D114" s="51"/>
      <c r="E114" s="50"/>
    </row>
    <row r="115" spans="1:7" ht="10.199999999999999" customHeight="1" x14ac:dyDescent="0.25">
      <c r="C115" s="13" t="s">
        <v>5</v>
      </c>
      <c r="D115" s="17" t="s">
        <v>9</v>
      </c>
      <c r="E115" s="29">
        <f>E51</f>
        <v>1000000</v>
      </c>
    </row>
    <row r="116" spans="1:7" s="47" customFormat="1" ht="10.199999999999999" customHeight="1" x14ac:dyDescent="0.25">
      <c r="A116" s="40"/>
      <c r="C116" s="13" t="s">
        <v>102</v>
      </c>
      <c r="D116" s="17" t="s">
        <v>9</v>
      </c>
      <c r="E116" s="48">
        <f>-E113</f>
        <v>-617400</v>
      </c>
      <c r="G116" s="46"/>
    </row>
    <row r="117" spans="1:7" ht="10.199999999999999" customHeight="1" thickBot="1" x14ac:dyDescent="0.3">
      <c r="B117" s="58" t="s">
        <v>116</v>
      </c>
      <c r="C117" s="34" t="s">
        <v>101</v>
      </c>
      <c r="D117" s="17" t="s">
        <v>9</v>
      </c>
      <c r="E117" s="36">
        <f>E115+E116</f>
        <v>382600</v>
      </c>
    </row>
    <row r="118" spans="1:7" ht="10.199999999999999" customHeight="1" thickTop="1" x14ac:dyDescent="0.25"/>
  </sheetData>
  <mergeCells count="8">
    <mergeCell ref="B49:C49"/>
    <mergeCell ref="B57:D57"/>
    <mergeCell ref="B80:C80"/>
    <mergeCell ref="B95:C95"/>
    <mergeCell ref="B6:G6"/>
    <mergeCell ref="B47:G47"/>
    <mergeCell ref="B8:C8"/>
    <mergeCell ref="B24:C2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Title</vt:lpstr>
      <vt:lpstr>Inputs</vt:lpstr>
      <vt:lpstr>Линейная</vt:lpstr>
      <vt:lpstr>Уменьш ост</vt:lpstr>
      <vt:lpstr>Сумма чисел</vt:lpstr>
      <vt:lpstr>Объем произв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Dmirtry Isaev</dc:creator>
  <cp:lastModifiedBy>Исаев Дмитрий Валентинович</cp:lastModifiedBy>
  <cp:lastPrinted>2012-11-18T20:34:12Z</cp:lastPrinted>
  <dcterms:created xsi:type="dcterms:W3CDTF">2006-09-06T08:37:57Z</dcterms:created>
  <dcterms:modified xsi:type="dcterms:W3CDTF">2026-09-22T15:16:13Z</dcterms:modified>
</cp:coreProperties>
</file>